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sumen" sheetId="1" state="visible" r:id="rId1"/>
    <sheet xmlns:r="http://schemas.openxmlformats.org/officeDocument/2006/relationships" name="Config" sheetId="2" state="visible" r:id="rId2"/>
    <sheet xmlns:r="http://schemas.openxmlformats.org/officeDocument/2006/relationships" name="Actividades" sheetId="3" state="visible" r:id="rId3"/>
    <sheet xmlns:r="http://schemas.openxmlformats.org/officeDocument/2006/relationships" name="Tareas" sheetId="4" state="visible" r:id="rId4"/>
    <sheet xmlns:r="http://schemas.openxmlformats.org/officeDocument/2006/relationships" name="Preguntas" sheetId="5" state="visible" r:id="rId5"/>
    <sheet xmlns:r="http://schemas.openxmlformats.org/officeDocument/2006/relationships" name="Decisiones" sheetId="6" state="visible" r:id="rId6"/>
  </sheets>
  <definedNames>
    <definedName name="_xlnm._FilterDatabase" localSheetId="2" hidden="1">'Actividades'!$A$1:$J$174</definedName>
    <definedName name="_xlnm._FilterDatabase" localSheetId="3" hidden="1">'Tareas'!$A$2:$G$65</definedName>
    <definedName name="_xlnm._FilterDatabase" localSheetId="4" hidden="1">'Preguntas'!$A$2:$G$60</definedName>
    <definedName name="_xlnm._FilterDatabase" localSheetId="5" hidden="1">'Decisiones'!$A$2:$F$201</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20">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6"/>
    </font>
    <font>
      <name val="Arial"/>
      <charset val="1"/>
      <family val="0"/>
      <i val="1"/>
      <color rgb="FF595959"/>
      <sz val="10"/>
    </font>
    <font>
      <name val="Arial"/>
      <charset val="1"/>
      <family val="0"/>
      <b val="1"/>
      <color rgb="FF1F3864"/>
      <sz val="14"/>
    </font>
    <font>
      <name val="Arial"/>
      <charset val="1"/>
      <family val="0"/>
      <b val="1"/>
      <color rgb="FFFFFFFF"/>
      <sz val="10"/>
    </font>
    <font>
      <name val="Arial"/>
      <charset val="1"/>
      <family val="0"/>
      <b val="1"/>
      <sz val="11"/>
    </font>
    <font>
      <name val="Arial"/>
      <charset val="1"/>
      <family val="0"/>
      <b val="1"/>
      <color rgb="FF006100"/>
      <sz val="10"/>
    </font>
    <font>
      <name val="Arial"/>
      <charset val="1"/>
      <family val="0"/>
      <b val="1"/>
      <color rgb="FF9C5700"/>
      <sz val="10"/>
    </font>
    <font>
      <name val="Arial"/>
      <charset val="1"/>
      <family val="0"/>
      <b val="1"/>
      <color rgb="FF595959"/>
      <sz val="10"/>
    </font>
    <font>
      <name val="Arial"/>
      <charset val="1"/>
      <family val="0"/>
      <b val="1"/>
      <color rgb="FF9C0006"/>
      <sz val="10"/>
    </font>
    <font>
      <name val="Arial"/>
      <charset val="1"/>
      <family val="0"/>
      <b val="1"/>
      <color rgb="FF1F4E79"/>
      <sz val="10"/>
    </font>
    <font>
      <name val="Arial"/>
      <charset val="1"/>
      <family val="0"/>
      <b val="1"/>
      <color rgb="FFA6A6A6"/>
      <sz val="10"/>
    </font>
    <font>
      <name val="Arial"/>
      <charset val="1"/>
      <family val="0"/>
      <sz val="10"/>
    </font>
    <font>
      <name val="Arial"/>
      <charset val="1"/>
      <family val="0"/>
      <b val="1"/>
      <color rgb="FF1F3864"/>
      <sz val="12"/>
    </font>
    <font>
      <name val="Arial"/>
      <charset val="1"/>
      <family val="0"/>
      <i val="1"/>
      <color rgb="FF808080"/>
      <sz val="9"/>
    </font>
    <font>
      <name val="Arial"/>
      <charset val="1"/>
      <family val="0"/>
      <i val="1"/>
      <sz val="10"/>
    </font>
    <font>
      <name val="Arial"/>
      <charset val="1"/>
      <family val="0"/>
      <b val="1"/>
      <sz val="10"/>
    </font>
  </fonts>
  <fills count="9">
    <fill>
      <patternFill/>
    </fill>
    <fill>
      <patternFill patternType="gray125"/>
    </fill>
    <fill>
      <patternFill patternType="solid">
        <fgColor rgb="FF1F3864"/>
        <bgColor rgb="FF1F4E79"/>
      </patternFill>
    </fill>
    <fill>
      <patternFill patternType="solid">
        <fgColor rgb="FFC6EFCE"/>
        <bgColor rgb="FFDDEBF7"/>
      </patternFill>
    </fill>
    <fill>
      <patternFill patternType="solid">
        <fgColor rgb="FFFFEB9C"/>
        <bgColor rgb="FFF2F2F2"/>
      </patternFill>
    </fill>
    <fill>
      <patternFill patternType="solid">
        <fgColor rgb="FFF2F2F2"/>
        <bgColor rgb="FFDDEBF7"/>
      </patternFill>
    </fill>
    <fill>
      <patternFill patternType="solid">
        <fgColor rgb="FFFFC7CE"/>
        <bgColor rgb="FFD9D9D9"/>
      </patternFill>
    </fill>
    <fill>
      <patternFill patternType="solid">
        <fgColor rgb="FFDDEBF7"/>
        <bgColor rgb="FFF2F2F2"/>
      </patternFill>
    </fill>
    <fill>
      <patternFill patternType="solid">
        <fgColor rgb="FFFFFFFF"/>
        <bgColor rgb="FFF2F2F2"/>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0" applyAlignment="1" pivotButton="0" quotePrefix="0" xfId="0">
      <alignment horizontal="center" vertical="center"/>
    </xf>
    <xf numFmtId="164" fontId="8" fillId="0" borderId="0" applyAlignment="1" pivotButton="0" quotePrefix="0" xfId="0">
      <alignment horizontal="general" vertical="bottom"/>
    </xf>
    <xf numFmtId="1" fontId="8" fillId="0" borderId="0" applyAlignment="1" pivotButton="0" quotePrefix="0" xfId="0">
      <alignment horizontal="general" vertical="bottom"/>
    </xf>
    <xf numFmtId="0" fontId="9" fillId="3" borderId="0" applyAlignment="1" pivotButton="0" quotePrefix="0" xfId="0">
      <alignment horizontal="general" vertical="bottom"/>
    </xf>
    <xf numFmtId="164" fontId="0" fillId="0" borderId="0" applyAlignment="1" pivotButton="0" quotePrefix="0" xfId="0">
      <alignment horizontal="general" vertical="bottom"/>
    </xf>
    <xf numFmtId="0" fontId="10" fillId="4" borderId="0" applyAlignment="1" pivotButton="0" quotePrefix="0" xfId="0">
      <alignment horizontal="general" vertical="bottom"/>
    </xf>
    <xf numFmtId="0" fontId="11" fillId="5" borderId="0" applyAlignment="1" pivotButton="0" quotePrefix="0" xfId="0">
      <alignment horizontal="general" vertical="bottom"/>
    </xf>
    <xf numFmtId="0" fontId="12" fillId="6" borderId="0" applyAlignment="1" pivotButton="0" quotePrefix="0" xfId="0">
      <alignment horizontal="general" vertical="bottom"/>
    </xf>
    <xf numFmtId="0" fontId="13" fillId="7" borderId="0" applyAlignment="1" pivotButton="0" quotePrefix="0" xfId="0">
      <alignment horizontal="general" vertical="bottom"/>
    </xf>
    <xf numFmtId="0" fontId="14" fillId="8" borderId="0" applyAlignment="1" pivotButton="0" quotePrefix="0" xfId="0">
      <alignment horizontal="general" vertical="bottom"/>
    </xf>
    <xf numFmtId="0" fontId="15" fillId="0" borderId="0" applyAlignment="1" pivotButton="0" quotePrefix="0" xfId="0">
      <alignment horizontal="general" vertical="top" wrapText="1"/>
    </xf>
    <xf numFmtId="0" fontId="15" fillId="0" borderId="0" applyAlignment="1" pivotButton="0" quotePrefix="0" xfId="0">
      <alignment horizontal="general" vertical="top" wrapText="1"/>
    </xf>
    <xf numFmtId="0" fontId="8" fillId="0" borderId="0" applyAlignment="1" pivotButton="0" quotePrefix="0" xfId="0">
      <alignment horizontal="general" vertical="bottom"/>
    </xf>
    <xf numFmtId="0" fontId="7" fillId="2" borderId="0" applyAlignment="1" pivotButton="0" quotePrefix="0" xfId="0">
      <alignment horizontal="general" vertical="bottom"/>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9" fontId="15" fillId="0" borderId="0" applyAlignment="1" pivotButton="0" quotePrefix="0" xfId="0">
      <alignment horizontal="general" vertical="bottom"/>
    </xf>
    <xf numFmtId="0" fontId="17" fillId="0" borderId="0" applyAlignment="1" pivotButton="0" quotePrefix="0" xfId="0">
      <alignment horizontal="general" vertical="bottom"/>
    </xf>
    <xf numFmtId="0" fontId="15" fillId="0" borderId="1" applyAlignment="1" pivotButton="0" quotePrefix="0" xfId="0">
      <alignment horizontal="general" vertical="top"/>
    </xf>
    <xf numFmtId="0" fontId="15" fillId="0" borderId="1" applyAlignment="1" pivotButton="0" quotePrefix="0" xfId="0">
      <alignment horizontal="center" vertical="top"/>
    </xf>
    <xf numFmtId="0" fontId="15" fillId="0" borderId="1" applyAlignment="1" pivotButton="0" quotePrefix="0" xfId="0">
      <alignment horizontal="general" vertical="top" wrapText="1"/>
    </xf>
    <xf numFmtId="0" fontId="15" fillId="0" borderId="1" applyAlignment="1" pivotButton="0" quotePrefix="0" xfId="0">
      <alignment horizontal="center" vertical="center"/>
    </xf>
    <xf numFmtId="9" fontId="15" fillId="0" borderId="1" applyAlignment="1" pivotButton="0" quotePrefix="0" xfId="0">
      <alignment horizontal="center" vertical="center"/>
    </xf>
    <xf numFmtId="0" fontId="15" fillId="0" borderId="1" applyAlignment="1" pivotButton="0" quotePrefix="0" xfId="0">
      <alignment horizontal="center" vertical="center"/>
    </xf>
    <xf numFmtId="0" fontId="0" fillId="0" borderId="0" applyAlignment="1" pivotButton="0" quotePrefix="0" xfId="0">
      <alignment horizontal="general" vertical="bottom"/>
    </xf>
    <xf numFmtId="9" fontId="0" fillId="0" borderId="0" applyAlignment="1" pivotButton="0" quotePrefix="0" xfId="0">
      <alignment horizontal="general" vertical="bottom"/>
    </xf>
    <xf numFmtId="0" fontId="18" fillId="0" borderId="0" applyAlignment="1" pivotButton="0" quotePrefix="0" xfId="0">
      <alignment horizontal="general" vertical="center" wrapText="1"/>
    </xf>
    <xf numFmtId="0" fontId="7" fillId="2" borderId="0" applyAlignment="1" pivotButton="0" quotePrefix="0" xfId="0">
      <alignment horizontal="center" vertical="center" wrapText="1"/>
    </xf>
    <xf numFmtId="0" fontId="19" fillId="0" borderId="0" applyAlignment="1" pivotButton="0" quotePrefix="0" xfId="0">
      <alignment horizontal="general" vertical="top"/>
    </xf>
    <xf numFmtId="0" fontId="15" fillId="0" borderId="0" applyAlignment="1" pivotButton="0" quotePrefix="0" xfId="0">
      <alignment horizontal="general" vertical="top"/>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0" applyAlignment="1" pivotButton="0" quotePrefix="0" xfId="0">
      <alignment horizontal="center" vertical="center"/>
    </xf>
    <xf numFmtId="164" fontId="8" fillId="0" borderId="0" applyAlignment="1" pivotButton="0" quotePrefix="0" xfId="0">
      <alignment horizontal="general" vertical="bottom"/>
    </xf>
    <xf numFmtId="1" fontId="8" fillId="0" borderId="0" applyAlignment="1" pivotButton="0" quotePrefix="0" xfId="0">
      <alignment horizontal="general" vertical="bottom"/>
    </xf>
    <xf numFmtId="0" fontId="9" fillId="3" borderId="0" applyAlignment="1" pivotButton="0" quotePrefix="0" xfId="0">
      <alignment horizontal="general" vertical="bottom"/>
    </xf>
    <xf numFmtId="164" fontId="0" fillId="0" borderId="0" applyAlignment="1" pivotButton="0" quotePrefix="0" xfId="0">
      <alignment horizontal="general" vertical="bottom"/>
    </xf>
    <xf numFmtId="0" fontId="10" fillId="4" borderId="0" applyAlignment="1" pivotButton="0" quotePrefix="0" xfId="0">
      <alignment horizontal="general" vertical="bottom"/>
    </xf>
    <xf numFmtId="0" fontId="11" fillId="5" borderId="0" applyAlignment="1" pivotButton="0" quotePrefix="0" xfId="0">
      <alignment horizontal="general" vertical="bottom"/>
    </xf>
    <xf numFmtId="0" fontId="12" fillId="6" borderId="0" applyAlignment="1" pivotButton="0" quotePrefix="0" xfId="0">
      <alignment horizontal="general" vertical="bottom"/>
    </xf>
    <xf numFmtId="0" fontId="13" fillId="7" borderId="0" applyAlignment="1" pivotButton="0" quotePrefix="0" xfId="0">
      <alignment horizontal="general" vertical="bottom"/>
    </xf>
    <xf numFmtId="0" fontId="14" fillId="8" borderId="0" applyAlignment="1" pivotButton="0" quotePrefix="0" xfId="0">
      <alignment horizontal="general" vertical="bottom"/>
    </xf>
    <xf numFmtId="0" fontId="15" fillId="0" borderId="0" applyAlignment="1" pivotButton="0" quotePrefix="0" xfId="0">
      <alignment horizontal="general" vertical="top" wrapText="1"/>
    </xf>
    <xf numFmtId="0" fontId="8" fillId="0" borderId="0" applyAlignment="1" pivotButton="0" quotePrefix="0" xfId="0">
      <alignment horizontal="general" vertical="bottom"/>
    </xf>
    <xf numFmtId="0" fontId="7" fillId="2" borderId="0" applyAlignment="1" pivotButton="0" quotePrefix="0" xfId="0">
      <alignment horizontal="general" vertical="bottom"/>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9" fontId="15" fillId="0" borderId="0" applyAlignment="1" pivotButton="0" quotePrefix="0" xfId="0">
      <alignment horizontal="general" vertical="bottom"/>
    </xf>
    <xf numFmtId="0" fontId="17" fillId="0" borderId="0" applyAlignment="1" pivotButton="0" quotePrefix="0" xfId="0">
      <alignment horizontal="general" vertical="bottom"/>
    </xf>
    <xf numFmtId="0" fontId="15" fillId="0" borderId="1" applyAlignment="1" pivotButton="0" quotePrefix="0" xfId="0">
      <alignment horizontal="general" vertical="top"/>
    </xf>
    <xf numFmtId="0" fontId="15" fillId="0" borderId="1" applyAlignment="1" pivotButton="0" quotePrefix="0" xfId="0">
      <alignment horizontal="center" vertical="top"/>
    </xf>
    <xf numFmtId="0" fontId="15" fillId="0" borderId="1" applyAlignment="1" pivotButton="0" quotePrefix="0" xfId="0">
      <alignment horizontal="general" vertical="top" wrapText="1"/>
    </xf>
    <xf numFmtId="0" fontId="15" fillId="0" borderId="1" applyAlignment="1" pivotButton="0" quotePrefix="0" xfId="0">
      <alignment horizontal="center" vertical="center"/>
    </xf>
    <xf numFmtId="9" fontId="15" fillId="0" borderId="1" applyAlignment="1" pivotButton="0" quotePrefix="0" xfId="0">
      <alignment horizontal="center" vertical="center"/>
    </xf>
    <xf numFmtId="9" fontId="0" fillId="0" borderId="0" applyAlignment="1" pivotButton="0" quotePrefix="0" xfId="0">
      <alignment horizontal="general" vertical="bottom"/>
    </xf>
    <xf numFmtId="0" fontId="18" fillId="0" borderId="0" applyAlignment="1" pivotButton="0" quotePrefix="0" xfId="0">
      <alignment horizontal="general" vertical="center" wrapText="1"/>
    </xf>
    <xf numFmtId="0" fontId="7" fillId="2" borderId="0" applyAlignment="1" pivotButton="0" quotePrefix="0" xfId="0">
      <alignment horizontal="center" vertical="center" wrapText="1"/>
    </xf>
    <xf numFmtId="0" fontId="19" fillId="0" borderId="0" applyAlignment="1" pivotButton="0" quotePrefix="0" xfId="0">
      <alignment horizontal="general" vertical="top"/>
    </xf>
    <xf numFmtId="0" fontId="15" fillId="0" borderId="0" applyAlignment="1" pivotButton="0" quotePrefix="0" xfId="0">
      <alignment horizontal="general" vertical="top"/>
    </xf>
    <xf numFmtId="0" fontId="19" fillId="0" borderId="0" applyAlignment="1" pivotButton="0" quotePrefix="0" xfId="0">
      <alignment horizontal="general" vertical="top"/>
    </xf>
    <xf numFmtId="0" fontId="15" fillId="0" borderId="0" applyAlignment="1" pivotButton="0" quotePrefix="0" xfId="0">
      <alignment horizontal="general" vertical="top"/>
    </xf>
    <xf numFmtId="0" fontId="15"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2">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C6EFCE"/>
          <bgColor rgb="FF000000"/>
        </patternFill>
      </fill>
    </dxf>
    <dxf>
      <fill>
        <patternFill patternType="solid">
          <fgColor rgb="FFDDEBF7"/>
          <bgColor rgb="FF000000"/>
        </patternFill>
      </fill>
    </dxf>
    <dxf>
      <fill>
        <patternFill patternType="solid">
          <fgColor rgb="FFF2F2F2"/>
          <bgColor rgb="FF000000"/>
        </patternFill>
      </fill>
    </dxf>
    <dxf>
      <fill>
        <patternFill patternType="solid">
          <fgColor rgb="FFFFEB9C"/>
          <bgColor rgb="FF000000"/>
        </patternFill>
      </fill>
    </dxf>
    <dxf>
      <fill>
        <patternFill patternType="solid">
          <fgColor rgb="FF006100"/>
          <bgColor rgb="FF000000"/>
        </patternFill>
      </fill>
    </dxf>
    <dxf>
      <fill>
        <patternFill patternType="solid">
          <fgColor rgb="FF1F4E79"/>
          <bgColor rgb="FF000000"/>
        </patternFill>
      </fill>
    </dxf>
    <dxf>
      <fill>
        <patternFill patternType="solid">
          <fgColor rgb="FF595959"/>
          <bgColor rgb="FF000000"/>
        </patternFill>
      </fill>
    </dxf>
    <dxf>
      <fill>
        <patternFill patternType="solid">
          <fgColor rgb="FF9C5700"/>
          <bgColor rgb="FF000000"/>
        </patternFill>
      </fill>
    </dxf>
    <dxf>
      <font>
        <name val="Arial"/>
        <charset val="1"/>
        <family val="0"/>
        <b val="1"/>
        <color rgb="FF006100"/>
        <sz val="10"/>
      </font>
      <fill>
        <patternFill>
          <bgColor rgb="FFC6EFCE"/>
        </patternFill>
      </fill>
    </dxf>
    <dxf>
      <font>
        <name val="Arial"/>
        <charset val="1"/>
        <family val="0"/>
        <b val="1"/>
        <color rgb="FF9C5700"/>
        <sz val="10"/>
      </font>
      <fill>
        <patternFill>
          <bgColor rgb="FFFFEB9C"/>
        </patternFill>
      </fill>
    </dxf>
    <dxf>
      <font>
        <name val="Arial"/>
        <charset val="1"/>
        <family val="0"/>
        <b val="1"/>
        <color rgb="FF595959"/>
        <sz val="10"/>
      </font>
      <fill>
        <patternFill>
          <bgColor rgb="FFF2F2F2"/>
        </patternFill>
      </fill>
    </dxf>
    <dxf>
      <font>
        <name val="Arial"/>
        <charset val="1"/>
        <family val="0"/>
        <b val="1"/>
        <color rgb="FF9C0006"/>
        <sz val="10"/>
      </font>
      <fill>
        <patternFill>
          <bgColor rgb="FFFFC7CE"/>
        </patternFill>
      </fill>
    </dxf>
    <dxf>
      <font>
        <name val="Arial"/>
        <charset val="1"/>
        <family val="0"/>
        <b val="1"/>
        <color rgb="FF1F4E79"/>
        <sz val="10"/>
      </font>
      <fill>
        <patternFill>
          <bgColor rgb="FFDDEBF7"/>
        </patternFill>
      </fill>
    </dxf>
    <dxf>
      <font>
        <name val="Arial"/>
        <charset val="1"/>
        <family val="0"/>
        <b val="1"/>
        <color rgb="FFA6A6A6"/>
        <sz val="10"/>
      </font>
      <fill>
        <patternFill>
          <bgColor rgb="FFFFFFFF"/>
        </patternFill>
      </fill>
    </dxf>
    <dxf>
      <fill>
        <patternFill patternType="solid">
          <fgColor rgb="FFFFC7CE"/>
          <bgColor rgb="FF000000"/>
        </patternFill>
      </fill>
    </dxf>
    <dxf>
      <fill>
        <patternFill>
          <bgColor rgb="FFFFC7CE"/>
        </patternFill>
      </fill>
    </dxf>
    <dxf>
      <fill>
        <patternFill>
          <bgColor rgb="FFC6EFCE"/>
        </patternFill>
      </fill>
    </dxf>
    <dxf>
      <fill>
        <patternFill>
          <bgColor rgb="FFFFEB9C"/>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993366"/>
      <rgbColor rgb="FFF2F2F2"/>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A6A6A6"/>
      <rgbColor rgb="FF1F3864"/>
      <rgbColor rgb="FF339966"/>
      <rgbColor rgb="FF003300"/>
      <rgbColor rgb="FF333300"/>
      <rgbColor rgb="FF9C57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E71"/>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6" customWidth="1" style="35" min="1" max="1"/>
    <col width="30" customWidth="1" style="35" min="2" max="2"/>
    <col width="16" customWidth="1" style="35" min="3" max="3"/>
    <col width="14" customWidth="1" style="35" min="4" max="5"/>
  </cols>
  <sheetData>
    <row r="1" ht="19.5" customHeight="1" s="36">
      <c r="A1" s="37" t="inlineStr">
        <is>
          <t>LATAM Social - avance del alcance completo</t>
        </is>
      </c>
    </row>
    <row r="2" ht="15" customHeight="1" s="36">
      <c r="A2" s="38" t="inlineStr">
        <is>
          <t>Cifras al 2026-08-31. El estado de cada actividad se cambia en la hoja «Actividades».</t>
        </is>
      </c>
    </row>
    <row r="4" ht="17.25" customHeight="1" s="36">
      <c r="A4" s="39" t="inlineStr">
        <is>
          <t>Avance global</t>
        </is>
      </c>
    </row>
    <row r="5" ht="15" customHeight="1" s="36">
      <c r="A5" s="40" t="inlineStr">
        <is>
          <t>Medida</t>
        </is>
      </c>
      <c r="B5" s="40" t="inlineStr">
        <is>
          <t>Valor</t>
        </is>
      </c>
    </row>
    <row r="6" ht="15" customHeight="1" s="36">
      <c r="A6" s="35" t="inlineStr">
        <is>
          <t>Avance por numero de actividades</t>
        </is>
      </c>
      <c r="B6" s="41">
        <f>IFERROR(SUMPRODUCT(Actividades!$H$2:$H$400,Actividades!$I$2:$I$400)/SUM(Actividades!$I$2:$I$400),0)</f>
        <v/>
      </c>
    </row>
    <row r="7" ht="15" customHeight="1" s="36">
      <c r="A7" s="35" t="inlineStr">
        <is>
          <t>Avance ponderado por esfuerzo estimado (semanas por ola)</t>
        </is>
      </c>
      <c r="B7" s="41">
        <f>IFERROR(SUMPRODUCT($B$22:$B$25,$C$22:$C$25)/SUM($C$22:$C$25),0)</f>
        <v/>
      </c>
    </row>
    <row r="8" ht="15" customHeight="1" s="36">
      <c r="A8" s="35" t="inlineStr">
        <is>
          <t>Actividades del alcance total</t>
        </is>
      </c>
      <c r="B8" s="42">
        <f>COUNTA(Actividades!$A$2:$A$400)</f>
        <v/>
      </c>
    </row>
    <row r="9" ht="15" customHeight="1" s="36">
      <c r="A9" s="35" t="inlineStr">
        <is>
          <t>Actividades que cuentan en el denominador</t>
        </is>
      </c>
      <c r="B9" s="42">
        <f>SUM(Actividades!$I$2:$I$400)</f>
        <v/>
      </c>
    </row>
    <row r="11" ht="17.25" customHeight="1" s="36">
      <c r="A11" s="39" t="inlineStr">
        <is>
          <t>Actividades por estado</t>
        </is>
      </c>
    </row>
    <row r="12" ht="15" customHeight="1" s="36">
      <c r="A12" s="40" t="inlineStr">
        <is>
          <t>Estado</t>
        </is>
      </c>
      <c r="B12" s="40" t="inlineStr">
        <is>
          <t>Cuantas</t>
        </is>
      </c>
      <c r="C12" s="40" t="inlineStr">
        <is>
          <t>% del total</t>
        </is>
      </c>
    </row>
    <row r="13" ht="15" customHeight="1" s="36">
      <c r="A13" s="43" t="inlineStr">
        <is>
          <t>Terminado</t>
        </is>
      </c>
      <c r="B13" s="35">
        <f>COUNTIF(Actividades!$G$2:$G$400,$A13)</f>
        <v/>
      </c>
      <c r="C13" s="44">
        <f>IFERROR($B13/COUNTA(Actividades!$A$2:$A$400),0)</f>
        <v/>
      </c>
    </row>
    <row r="14" ht="15" customHeight="1" s="36">
      <c r="A14" s="45" t="inlineStr">
        <is>
          <t>En curso</t>
        </is>
      </c>
      <c r="B14" s="35">
        <f>COUNTIF(Actividades!$G$2:$G$400,$A14)</f>
        <v/>
      </c>
      <c r="C14" s="44">
        <f>IFERROR($B14/COUNTA(Actividades!$A$2:$A$400),0)</f>
        <v/>
      </c>
    </row>
    <row r="15" ht="15" customHeight="1" s="36">
      <c r="A15" s="46" t="inlineStr">
        <is>
          <t>Pendiente</t>
        </is>
      </c>
      <c r="B15" s="35">
        <f>COUNTIF(Actividades!$G$2:$G$400,$A15)</f>
        <v/>
      </c>
      <c r="C15" s="44">
        <f>IFERROR($B15/COUNTA(Actividades!$A$2:$A$400),0)</f>
        <v/>
      </c>
    </row>
    <row r="16" ht="15" customHeight="1" s="36">
      <c r="A16" s="47" t="inlineStr">
        <is>
          <t>Bloqueado</t>
        </is>
      </c>
      <c r="B16" s="35">
        <f>COUNTIF(Actividades!$G$2:$G$400,$A16)</f>
        <v/>
      </c>
      <c r="C16" s="44">
        <f>IFERROR($B16/COUNTA(Actividades!$A$2:$A$400),0)</f>
        <v/>
      </c>
    </row>
    <row r="17" ht="15" customHeight="1" s="36">
      <c r="A17" s="48" t="inlineStr">
        <is>
          <t>Aplazado</t>
        </is>
      </c>
      <c r="B17" s="35">
        <f>COUNTIF(Actividades!$G$2:$G$400,$A17)</f>
        <v/>
      </c>
      <c r="C17" s="44">
        <f>IFERROR($B17/COUNTA(Actividades!$A$2:$A$400),0)</f>
        <v/>
      </c>
    </row>
    <row r="18" ht="15" customHeight="1" s="36">
      <c r="A18" s="49" t="inlineStr">
        <is>
          <t>No aplica</t>
        </is>
      </c>
      <c r="B18" s="35">
        <f>COUNTIF(Actividades!$G$2:$G$400,$A18)</f>
        <v/>
      </c>
      <c r="C18" s="44">
        <f>IFERROR($B18/COUNTA(Actividades!$A$2:$A$400),0)</f>
        <v/>
      </c>
    </row>
    <row r="20" ht="17.25" customHeight="1" s="36">
      <c r="A20" s="39" t="inlineStr">
        <is>
          <t>Avance por ola</t>
        </is>
      </c>
    </row>
    <row r="21" ht="15" customHeight="1" s="36">
      <c r="A21" s="40" t="inlineStr">
        <is>
          <t>Ola</t>
        </is>
      </c>
      <c r="B21" s="40" t="inlineStr">
        <is>
          <t>Avance</t>
        </is>
      </c>
      <c r="C21" s="40" t="inlineStr">
        <is>
          <t>Semanas est.</t>
        </is>
      </c>
      <c r="D21" s="40" t="inlineStr">
        <is>
          <t>Actividades</t>
        </is>
      </c>
      <c r="E21" s="40" t="inlineStr">
        <is>
          <t>Terminadas</t>
        </is>
      </c>
    </row>
    <row r="22" ht="15" customHeight="1" s="36">
      <c r="A22" s="35" t="inlineStr">
        <is>
          <t>Ola 0 - Fundaciones</t>
        </is>
      </c>
      <c r="B22" s="44">
        <f>IFERROR(SUMPRODUCT((Actividades!$B$2:$B$400=$A22)*Actividades!$H$2:$H$400*Actividades!$I$2:$I$400)/SUMPRODUCT((Actividades!$B$2:$B$400=$A22)*Actividades!$I$2:$I$400),0)</f>
        <v/>
      </c>
      <c r="C22" s="35" t="n">
        <v>8.5</v>
      </c>
      <c r="D22" s="35">
        <f>COUNTIF(Actividades!$B$2:$B$400,$A22)</f>
        <v/>
      </c>
      <c r="E22" s="35">
        <f>SUMPRODUCT((Actividades!$B$2:$B$400=$A22)*(Actividades!$G$2:$G$400="Terminado"))</f>
        <v/>
      </c>
    </row>
    <row r="23" ht="15" customHeight="1" s="36">
      <c r="A23" s="35" t="inlineStr">
        <is>
          <t>Ola 1 - MVP: operar sin Excel</t>
        </is>
      </c>
      <c r="B23" s="44">
        <f>IFERROR(SUMPRODUCT((Actividades!$B$2:$B$400=$A23)*Actividades!$H$2:$H$400*Actividades!$I$2:$I$400)/SUMPRODUCT((Actividades!$B$2:$B$400=$A23)*Actividades!$I$2:$I$400),0)</f>
        <v/>
      </c>
      <c r="C23" s="35" t="n">
        <v>12</v>
      </c>
      <c r="D23" s="35">
        <f>COUNTIF(Actividades!$B$2:$B$400,$A23)</f>
        <v/>
      </c>
      <c r="E23" s="35">
        <f>SUMPRODUCT((Actividades!$B$2:$B$400=$A23)*(Actividades!$G$2:$G$400="Terminado"))</f>
        <v/>
      </c>
    </row>
    <row r="24" ht="15" customHeight="1" s="36">
      <c r="A24" s="35" t="inlineStr">
        <is>
          <t>Ola 2 - Escalar comercialmente</t>
        </is>
      </c>
      <c r="B24" s="44">
        <f>IFERROR(SUMPRODUCT((Actividades!$B$2:$B$400=$A24)*Actividades!$H$2:$H$400*Actividades!$I$2:$I$400)/SUMPRODUCT((Actividades!$B$2:$B$400=$A24)*Actividades!$I$2:$I$400),0)</f>
        <v/>
      </c>
      <c r="C24" s="35" t="n">
        <v>14</v>
      </c>
      <c r="D24" s="35">
        <f>COUNTIF(Actividades!$B$2:$B$400,$A24)</f>
        <v/>
      </c>
      <c r="E24" s="35">
        <f>SUMPRODUCT((Actividades!$B$2:$B$400=$A24)*(Actividades!$G$2:$G$400="Terminado"))</f>
        <v/>
      </c>
    </row>
    <row r="25" ht="15" customHeight="1" s="36">
      <c r="A25" s="35" t="inlineStr">
        <is>
          <t>Ola 3 - Internacionalizar y endurecer</t>
        </is>
      </c>
      <c r="B25" s="44">
        <f>IFERROR(SUMPRODUCT((Actividades!$B$2:$B$400=$A25)*Actividades!$H$2:$H$400*Actividades!$I$2:$I$400)/SUMPRODUCT((Actividades!$B$2:$B$400=$A25)*Actividades!$I$2:$I$400),0)</f>
        <v/>
      </c>
      <c r="C25" s="35" t="n">
        <v>10</v>
      </c>
      <c r="D25" s="35">
        <f>COUNTIF(Actividades!$B$2:$B$400,$A25)</f>
        <v/>
      </c>
      <c r="E25" s="35">
        <f>SUMPRODUCT((Actividades!$B$2:$B$400=$A25)*(Actividades!$G$2:$G$400="Terminado"))</f>
        <v/>
      </c>
    </row>
    <row r="27" ht="17.25" customHeight="1" s="36">
      <c r="A27" s="39" t="inlineStr">
        <is>
          <t>Avance por fase</t>
        </is>
      </c>
    </row>
    <row r="28" ht="15" customHeight="1" s="36">
      <c r="A28" s="40" t="inlineStr">
        <is>
          <t>Fase</t>
        </is>
      </c>
      <c r="B28" s="40" t="inlineStr">
        <is>
          <t>Nombre</t>
        </is>
      </c>
      <c r="C28" s="40" t="inlineStr">
        <is>
          <t>Avance</t>
        </is>
      </c>
      <c r="D28" s="40" t="inlineStr">
        <is>
          <t>Actividades</t>
        </is>
      </c>
      <c r="E28" s="40" t="inlineStr">
        <is>
          <t>Terminadas</t>
        </is>
      </c>
    </row>
    <row r="29" ht="15" customHeight="1" s="36">
      <c r="A29" s="35" t="inlineStr">
        <is>
          <t>F0</t>
        </is>
      </c>
      <c r="B29" s="35" t="inlineStr">
        <is>
          <t>Discovery</t>
        </is>
      </c>
      <c r="C29" s="44">
        <f>IFERROR(SUMPRODUCT((Actividades!$C$2:$C$400=$A29)*Actividades!$H$2:$H$400*Actividades!$I$2:$I$400)/SUMPRODUCT((Actividades!$C$2:$C$400=$A29)*Actividades!$I$2:$I$400),0)</f>
        <v/>
      </c>
      <c r="D29" s="35">
        <f>COUNTIF(Actividades!$C$2:$C$400,$A29)</f>
        <v/>
      </c>
      <c r="E29" s="35">
        <f>SUMPRODUCT((Actividades!$C$2:$C$400=$A29)*(Actividades!$G$2:$G$400="Terminado"))</f>
        <v/>
      </c>
    </row>
    <row r="30" ht="15" customHeight="1" s="36">
      <c r="A30" s="35" t="inlineStr">
        <is>
          <t>F1</t>
        </is>
      </c>
      <c r="B30" s="35" t="inlineStr">
        <is>
          <t>Arquitectura y esqueleto</t>
        </is>
      </c>
      <c r="C30" s="44">
        <f>IFERROR(SUMPRODUCT((Actividades!$C$2:$C$400=$A30)*Actividades!$H$2:$H$400*Actividades!$I$2:$I$400)/SUMPRODUCT((Actividades!$C$2:$C$400=$A30)*Actividades!$I$2:$I$400),0)</f>
        <v/>
      </c>
      <c r="D30" s="35">
        <f>COUNTIF(Actividades!$C$2:$C$400,$A30)</f>
        <v/>
      </c>
      <c r="E30" s="35">
        <f>SUMPRODUCT((Actividades!$C$2:$C$400=$A30)*(Actividades!$G$2:$G$400="Terminado"))</f>
        <v/>
      </c>
    </row>
    <row r="31" ht="15" customHeight="1" s="36">
      <c r="A31" s="35" t="inlineStr">
        <is>
          <t>F2</t>
        </is>
      </c>
      <c r="B31" s="35" t="inlineStr">
        <is>
          <t>Modelo de datos</t>
        </is>
      </c>
      <c r="C31" s="44">
        <f>IFERROR(SUMPRODUCT((Actividades!$C$2:$C$400=$A31)*Actividades!$H$2:$H$400*Actividades!$I$2:$I$400)/SUMPRODUCT((Actividades!$C$2:$C$400=$A31)*Actividades!$I$2:$I$400),0)</f>
        <v/>
      </c>
      <c r="D31" s="35">
        <f>COUNTIF(Actividades!$C$2:$C$400,$A31)</f>
        <v/>
      </c>
      <c r="E31" s="35">
        <f>SUMPRODUCT((Actividades!$C$2:$C$400=$A31)*(Actividades!$G$2:$G$400="Terminado"))</f>
        <v/>
      </c>
    </row>
    <row r="32" ht="15" customHeight="1" s="36">
      <c r="A32" s="35" t="inlineStr">
        <is>
          <t>F3</t>
        </is>
      </c>
      <c r="B32" s="35" t="inlineStr">
        <is>
          <t>Design System y UX</t>
        </is>
      </c>
      <c r="C32" s="44">
        <f>IFERROR(SUMPRODUCT((Actividades!$C$2:$C$400=$A32)*Actividades!$H$2:$H$400*Actividades!$I$2:$I$400)/SUMPRODUCT((Actividades!$C$2:$C$400=$A32)*Actividades!$I$2:$I$400),0)</f>
        <v/>
      </c>
      <c r="D32" s="35">
        <f>COUNTIF(Actividades!$C$2:$C$400,$A32)</f>
        <v/>
      </c>
      <c r="E32" s="35">
        <f>SUMPRODUCT((Actividades!$C$2:$C$400=$A32)*(Actividades!$G$2:$G$400="Terminado"))</f>
        <v/>
      </c>
    </row>
    <row r="33" ht="15" customHeight="1" s="36">
      <c r="A33" s="35" t="inlineStr">
        <is>
          <t>F4</t>
        </is>
      </c>
      <c r="B33" s="35" t="inlineStr">
        <is>
          <t>Core tecnico</t>
        </is>
      </c>
      <c r="C33" s="44">
        <f>IFERROR(SUMPRODUCT((Actividades!$C$2:$C$400=$A33)*Actividades!$H$2:$H$400*Actividades!$I$2:$I$400)/SUMPRODUCT((Actividades!$C$2:$C$400=$A33)*Actividades!$I$2:$I$400),0)</f>
        <v/>
      </c>
      <c r="D33" s="35">
        <f>COUNTIF(Actividades!$C$2:$C$400,$A33)</f>
        <v/>
      </c>
      <c r="E33" s="35">
        <f>SUMPRODUCT((Actividades!$C$2:$C$400=$A33)*(Actividades!$G$2:$G$400="Terminado"))</f>
        <v/>
      </c>
    </row>
    <row r="34" ht="15" customHeight="1" s="36">
      <c r="A34" s="35" t="inlineStr">
        <is>
          <t>F5</t>
        </is>
      </c>
      <c r="B34" s="35" t="inlineStr">
        <is>
          <t>Adquisicion de creadores</t>
        </is>
      </c>
      <c r="C34" s="44">
        <f>IFERROR(SUMPRODUCT((Actividades!$C$2:$C$400=$A34)*Actividades!$H$2:$H$400*Actividades!$I$2:$I$400)/SUMPRODUCT((Actividades!$C$2:$C$400=$A34)*Actividades!$I$2:$I$400),0)</f>
        <v/>
      </c>
      <c r="D34" s="35">
        <f>COUNTIF(Actividades!$C$2:$C$400,$A34)</f>
        <v/>
      </c>
      <c r="E34" s="35">
        <f>SUMPRODUCT((Actividades!$C$2:$C$400=$A34)*(Actividades!$G$2:$G$400="Terminado"))</f>
        <v/>
      </c>
    </row>
    <row r="35" ht="15" customHeight="1" s="36">
      <c r="A35" s="35" t="inlineStr">
        <is>
          <t>F6</t>
        </is>
      </c>
      <c r="B35" s="35" t="inlineStr">
        <is>
          <t>Portal del creador</t>
        </is>
      </c>
      <c r="C35" s="44">
        <f>IFERROR(SUMPRODUCT((Actividades!$C$2:$C$400=$A35)*Actividades!$H$2:$H$400*Actividades!$I$2:$I$400)/SUMPRODUCT((Actividades!$C$2:$C$400=$A35)*Actividades!$I$2:$I$400),0)</f>
        <v/>
      </c>
      <c r="D35" s="35">
        <f>COUNTIF(Actividades!$C$2:$C$400,$A35)</f>
        <v/>
      </c>
      <c r="E35" s="35">
        <f>SUMPRODUCT((Actividades!$C$2:$C$400=$A35)*(Actividades!$G$2:$G$400="Terminado"))</f>
        <v/>
      </c>
    </row>
    <row r="36" ht="15" customHeight="1" s="36">
      <c r="A36" s="35" t="inlineStr">
        <is>
          <t>F7</t>
        </is>
      </c>
      <c r="B36" s="35" t="inlineStr">
        <is>
          <t>Motor de campana</t>
        </is>
      </c>
      <c r="C36" s="44">
        <f>IFERROR(SUMPRODUCT((Actividades!$C$2:$C$400=$A36)*Actividades!$H$2:$H$400*Actividades!$I$2:$I$400)/SUMPRODUCT((Actividades!$C$2:$C$400=$A36)*Actividades!$I$2:$I$400),0)</f>
        <v/>
      </c>
      <c r="D36" s="35">
        <f>COUNTIF(Actividades!$C$2:$C$400,$A36)</f>
        <v/>
      </c>
      <c r="E36" s="35">
        <f>SUMPRODUCT((Actividades!$C$2:$C$400=$A36)*(Actividades!$G$2:$G$400="Terminado"))</f>
        <v/>
      </c>
    </row>
    <row r="37" ht="15" customHeight="1" s="36">
      <c r="A37" s="35" t="inlineStr">
        <is>
          <t>F8</t>
        </is>
      </c>
      <c r="B37" s="35" t="inlineStr">
        <is>
          <t>Contenido, revision y evidencia</t>
        </is>
      </c>
      <c r="C37" s="44">
        <f>IFERROR(SUMPRODUCT((Actividades!$C$2:$C$400=$A37)*Actividades!$H$2:$H$400*Actividades!$I$2:$I$400)/SUMPRODUCT((Actividades!$C$2:$C$400=$A37)*Actividades!$I$2:$I$400),0)</f>
        <v/>
      </c>
      <c r="D37" s="35">
        <f>COUNTIF(Actividades!$C$2:$C$400,$A37)</f>
        <v/>
      </c>
      <c r="E37" s="35">
        <f>SUMPRODUCT((Actividades!$C$2:$C$400=$A37)*(Actividades!$G$2:$G$400="Terminado"))</f>
        <v/>
      </c>
    </row>
    <row r="38" ht="15" customHeight="1" s="36">
      <c r="A38" s="35" t="inlineStr">
        <is>
          <t>F9</t>
        </is>
      </c>
      <c r="B38" s="35" t="inlineStr">
        <is>
          <t>Finanzas</t>
        </is>
      </c>
      <c r="C38" s="44">
        <f>IFERROR(SUMPRODUCT((Actividades!$C$2:$C$400=$A38)*Actividades!$H$2:$H$400*Actividades!$I$2:$I$400)/SUMPRODUCT((Actividades!$C$2:$C$400=$A38)*Actividades!$I$2:$I$400),0)</f>
        <v/>
      </c>
      <c r="D38" s="35">
        <f>COUNTIF(Actividades!$C$2:$C$400,$A38)</f>
        <v/>
      </c>
      <c r="E38" s="35">
        <f>SUMPRODUCT((Actividades!$C$2:$C$400=$A38)*(Actividades!$G$2:$G$400="Terminado"))</f>
        <v/>
      </c>
    </row>
    <row r="39" ht="15" customHeight="1" s="36">
      <c r="A39" s="35" t="inlineStr">
        <is>
          <t>F10</t>
        </is>
      </c>
      <c r="B39" s="35" t="inlineStr">
        <is>
          <t>Medicion y reportes</t>
        </is>
      </c>
      <c r="C39" s="44">
        <f>IFERROR(SUMPRODUCT((Actividades!$C$2:$C$400=$A39)*Actividades!$H$2:$H$400*Actividades!$I$2:$I$400)/SUMPRODUCT((Actividades!$C$2:$C$400=$A39)*Actividades!$I$2:$I$400),0)</f>
        <v/>
      </c>
      <c r="D39" s="35">
        <f>COUNTIF(Actividades!$C$2:$C$400,$A39)</f>
        <v/>
      </c>
      <c r="E39" s="35">
        <f>SUMPRODUCT((Actividades!$C$2:$C$400=$A39)*(Actividades!$G$2:$G$400="Terminado"))</f>
        <v/>
      </c>
    </row>
    <row r="40" ht="15" customHeight="1" s="36">
      <c r="A40" s="35" t="inlineStr">
        <is>
          <t>F11</t>
        </is>
      </c>
      <c r="B40" s="35" t="inlineStr">
        <is>
          <t>Adquisicion de marcas y CRM</t>
        </is>
      </c>
      <c r="C40" s="44">
        <f>IFERROR(SUMPRODUCT((Actividades!$C$2:$C$400=$A40)*Actividades!$H$2:$H$400*Actividades!$I$2:$I$400)/SUMPRODUCT((Actividades!$C$2:$C$400=$A40)*Actividades!$I$2:$I$400),0)</f>
        <v/>
      </c>
      <c r="D40" s="35">
        <f>COUNTIF(Actividades!$C$2:$C$400,$A40)</f>
        <v/>
      </c>
      <c r="E40" s="35">
        <f>SUMPRODUCT((Actividades!$C$2:$C$400=$A40)*(Actividades!$G$2:$G$400="Terminado"))</f>
        <v/>
      </c>
    </row>
    <row r="41" ht="15" customHeight="1" s="36">
      <c r="A41" s="35" t="inlineStr">
        <is>
          <t>F12</t>
        </is>
      </c>
      <c r="B41" s="35" t="inlineStr">
        <is>
          <t>Integraciones</t>
        </is>
      </c>
      <c r="C41" s="44">
        <f>IFERROR(SUMPRODUCT((Actividades!$C$2:$C$400=$A41)*Actividades!$H$2:$H$400*Actividades!$I$2:$I$400)/SUMPRODUCT((Actividades!$C$2:$C$400=$A41)*Actividades!$I$2:$I$400),0)</f>
        <v/>
      </c>
      <c r="D41" s="35">
        <f>COUNTIF(Actividades!$C$2:$C$400,$A41)</f>
        <v/>
      </c>
      <c r="E41" s="35">
        <f>SUMPRODUCT((Actividades!$C$2:$C$400=$A41)*(Actividades!$G$2:$G$400="Terminado"))</f>
        <v/>
      </c>
    </row>
    <row r="42" ht="15" customHeight="1" s="36">
      <c r="A42" s="35" t="inlineStr">
        <is>
          <t>F13</t>
        </is>
      </c>
      <c r="B42" s="35" t="inlineStr">
        <is>
          <t>Portal de la marca</t>
        </is>
      </c>
      <c r="C42" s="44">
        <f>IFERROR(SUMPRODUCT((Actividades!$C$2:$C$400=$A42)*Actividades!$H$2:$H$400*Actividades!$I$2:$I$400)/SUMPRODUCT((Actividades!$C$2:$C$400=$A42)*Actividades!$I$2:$I$400),0)</f>
        <v/>
      </c>
      <c r="D42" s="35">
        <f>COUNTIF(Actividades!$C$2:$C$400,$A42)</f>
        <v/>
      </c>
      <c r="E42" s="35">
        <f>SUMPRODUCT((Actividades!$C$2:$C$400=$A42)*(Actividades!$G$2:$G$400="Terminado"))</f>
        <v/>
      </c>
    </row>
    <row r="43" ht="15" customHeight="1" s="36">
      <c r="A43" s="35" t="inlineStr">
        <is>
          <t>F14</t>
        </is>
      </c>
      <c r="B43" s="35" t="inlineStr">
        <is>
          <t>Creator Intelligence</t>
        </is>
      </c>
      <c r="C43" s="44">
        <f>IFERROR(SUMPRODUCT((Actividades!$C$2:$C$400=$A43)*Actividades!$H$2:$H$400*Actividades!$I$2:$I$400)/SUMPRODUCT((Actividades!$C$2:$C$400=$A43)*Actividades!$I$2:$I$400),0)</f>
        <v/>
      </c>
      <c r="D43" s="35">
        <f>COUNTIF(Actividades!$C$2:$C$400,$A43)</f>
        <v/>
      </c>
      <c r="E43" s="35">
        <f>SUMPRODUCT((Actividades!$C$2:$C$400=$A43)*(Actividades!$G$2:$G$400="Terminado"))</f>
        <v/>
      </c>
    </row>
    <row r="44" ht="15" customHeight="1" s="36">
      <c r="A44" s="35" t="inlineStr">
        <is>
          <t>F15</t>
        </is>
      </c>
      <c r="B44" s="35" t="inlineStr">
        <is>
          <t>Internacionalizacion real</t>
        </is>
      </c>
      <c r="C44" s="44">
        <f>IFERROR(SUMPRODUCT((Actividades!$C$2:$C$400=$A44)*Actividades!$H$2:$H$400*Actividades!$I$2:$I$400)/SUMPRODUCT((Actividades!$C$2:$C$400=$A44)*Actividades!$I$2:$I$400),0)</f>
        <v/>
      </c>
      <c r="D44" s="35">
        <f>COUNTIF(Actividades!$C$2:$C$400,$A44)</f>
        <v/>
      </c>
      <c r="E44" s="35">
        <f>SUMPRODUCT((Actividades!$C$2:$C$400=$A44)*(Actividades!$G$2:$G$400="Terminado"))</f>
        <v/>
      </c>
    </row>
    <row r="45" ht="15" customHeight="1" s="36">
      <c r="A45" s="35" t="inlineStr">
        <is>
          <t>F16</t>
        </is>
      </c>
      <c r="B45" s="35" t="inlineStr">
        <is>
          <t>Hardening</t>
        </is>
      </c>
      <c r="C45" s="44">
        <f>IFERROR(SUMPRODUCT((Actividades!$C$2:$C$400=$A45)*Actividades!$H$2:$H$400*Actividades!$I$2:$I$400)/SUMPRODUCT((Actividades!$C$2:$C$400=$A45)*Actividades!$I$2:$I$400),0)</f>
        <v/>
      </c>
      <c r="D45" s="35">
        <f>COUNTIF(Actividades!$C$2:$C$400,$A45)</f>
        <v/>
      </c>
      <c r="E45" s="35">
        <f>SUMPRODUCT((Actividades!$C$2:$C$400=$A45)*(Actividades!$G$2:$G$400="Terminado"))</f>
        <v/>
      </c>
    </row>
    <row r="46" ht="15" customHeight="1" s="36">
      <c r="A46" s="35" t="inlineStr">
        <is>
          <t>F17</t>
        </is>
      </c>
      <c r="B46" s="35" t="inlineStr">
        <is>
          <t>Produccion</t>
        </is>
      </c>
      <c r="C46" s="44">
        <f>IFERROR(SUMPRODUCT((Actividades!$C$2:$C$400=$A46)*Actividades!$H$2:$H$400*Actividades!$I$2:$I$400)/SUMPRODUCT((Actividades!$C$2:$C$400=$A46)*Actividades!$I$2:$I$400),0)</f>
        <v/>
      </c>
      <c r="D46" s="35">
        <f>COUNTIF(Actividades!$C$2:$C$400,$A46)</f>
        <v/>
      </c>
      <c r="E46" s="35">
        <f>SUMPRODUCT((Actividades!$C$2:$C$400=$A46)*(Actividades!$G$2:$G$400="Terminado"))</f>
        <v/>
      </c>
    </row>
    <row r="48" ht="17.25" customHeight="1" s="36">
      <c r="A48" s="39" t="inlineStr">
        <is>
          <t>Como leer esto</t>
        </is>
      </c>
    </row>
    <row r="49" ht="27.75" customHeight="1" s="36">
      <c r="A49" s="69" t="inlineStr">
        <is>
          <t>- El primer numero cuenta ACTIVIDADES, no semanas. Las que quedan son de media mas grandes que las hechas: finanzas, integraciones y los dos portales son fases enteras sin empezar.</t>
        </is>
      </c>
    </row>
    <row r="50" ht="27.75" customHeight="1" s="36">
      <c r="A50" s="69" t="inlineStr">
        <is>
          <t>- El segundo numero pondera cada ola por su estimacion de esfuerzo del propio roadmap, y es el mas honesto de los dos.</t>
        </is>
      </c>
    </row>
    <row r="51" ht="27.75" customHeight="1" s="36">
      <c r="A51" s="69" t="inlineStr">
        <is>
          <t>- Ninguno de los dos incluye el trabajo de endurecimiento que se ha hecho de mas (compilador de restricciones, compilador de periodos, seis puertas de calidad, bateria de 940 aserciones de restriccion). Ese trabajo no es una actividad del roadmap: es lo que hace que las que si lo son no haya que rehacerlas.</t>
        </is>
      </c>
    </row>
    <row r="52" ht="27.75" customHeight="1" s="36">
      <c r="A52" s="69" t="inlineStr">
        <is>
          <t>- «En curso» cuenta como medio. Si prefiere una lectura conservadora, ponga el peso de «En curso» a 0% en la hoja Config y todo se recalcula.</t>
        </is>
      </c>
    </row>
    <row r="53" ht="27.75" customHeight="1" s="36">
      <c r="A53" s="69" t="inlineStr">
        <is>
          <t>- Para cambiar un estado: hoja «Actividades», columna Estado, lista desplegable. No toque las columnas Avance ni Cuenta: son formulas.</t>
        </is>
      </c>
    </row>
    <row r="54" ht="34.5" customHeight="1" s="36">
      <c r="A54" s="69" t="inlineStr">
        <is>
          <t>- La numeracion de F9 se reordeno al ejecutar: la fila «9.2» de esta hoja es la iteracion 9.3 del roadmap, y asi las siguientes. La nota de cada fila lo dice.</t>
        </is>
      </c>
    </row>
    <row r="55" ht="34.5" customHeight="1" s="36">
      <c r="A55" s="69" t="inlineStr">
        <is>
          <t>- Las filas marcadas «FUERA DEL ALCANCE ORIGINAL» son iteraciones que no estaban en el plan y se hicieron porque el trabajo las destapo. Cuentan en el total.</t>
        </is>
      </c>
    </row>
    <row r="57" ht="15" customHeight="1" s="36">
      <c r="A57" s="51" t="inlineStr">
        <is>
          <t>Tareas, preguntas y decisiones</t>
        </is>
      </c>
    </row>
    <row r="58" ht="15" customHeight="1" s="36">
      <c r="A58" s="52" t="inlineStr">
        <is>
          <t>Que se mira</t>
        </is>
      </c>
      <c r="B58" s="52" t="inlineStr">
        <is>
          <t>Abiertas</t>
        </is>
      </c>
      <c r="C58" s="52" t="inlineStr">
        <is>
          <t>Total</t>
        </is>
      </c>
    </row>
    <row r="59" ht="15" customHeight="1" s="36">
      <c r="A59" s="53" t="inlineStr">
        <is>
          <t>Tareas (hoja «Tareas»)</t>
        </is>
      </c>
      <c r="B59" s="35">
        <f>COUNTIF(Tareas!$B$3:$B$65,"Abierta")</f>
        <v/>
      </c>
      <c r="C59" s="35" t="n">
        <v>63</v>
      </c>
    </row>
    <row r="60" ht="15" customHeight="1" s="36">
      <c r="A60" s="53" t="inlineStr">
        <is>
          <t>Preguntas de negocio (hoja «Preguntas»)</t>
        </is>
      </c>
      <c r="B60" s="35">
        <f>COUNTIF(Preguntas!$B$3:$B$60,"Abierta")</f>
        <v/>
      </c>
      <c r="C60" s="35" t="n">
        <v>58</v>
      </c>
    </row>
    <row r="61" ht="15" customHeight="1" s="36">
      <c r="A61" s="53" t="inlineStr">
        <is>
          <t>De ellas, críticas y sin respuesta</t>
        </is>
      </c>
      <c r="B61" s="35">
        <f>COUNTIFS(Preguntas!$B$3:$B$60,"Abierta",Preguntas!$C$3:$C$60,"Critica")+COUNTIFS(Tareas!$B$3:$B$65,"Abierta",Tareas!$C$3:$C$65,"Critica")</f>
        <v/>
      </c>
    </row>
    <row r="62" ht="15" customHeight="1" s="36">
      <c r="A62" s="53" t="inlineStr">
        <is>
          <t>Decisiones sin firma formal (hoja «Decisiones»)</t>
        </is>
      </c>
      <c r="B62" s="35">
        <f>COUNTIF(Decisiones!$B$3:$B$201,"Propuesta")</f>
        <v/>
      </c>
      <c r="C62" s="35" t="n">
        <v>199</v>
      </c>
    </row>
    <row r="63" ht="15" customHeight="1" s="36">
      <c r="A63" s="53" t="n"/>
    </row>
    <row r="64" ht="15" customHeight="1" s="36">
      <c r="A64" s="53" t="inlineStr">
        <is>
          <t>- Una pregunta abierta no es una duda: es trabajo parado. Una decisión «Propuesta» está construida y funcionando, y lo que le falta es tu confirmación explícita.</t>
        </is>
      </c>
    </row>
    <row r="65" ht="15" customHeight="1" s="36">
      <c r="A65" s="51" t="inlineStr">
        <is>
          <t>Tareas y preguntas abiertas</t>
        </is>
      </c>
    </row>
    <row r="66" ht="15" customHeight="1" s="36">
      <c r="A66" s="52" t="inlineStr">
        <is>
          <t>Que se mira</t>
        </is>
      </c>
      <c r="B66" s="52" t="inlineStr">
        <is>
          <t>Abiertas</t>
        </is>
      </c>
      <c r="C66" s="52" t="inlineStr">
        <is>
          <t>Total</t>
        </is>
      </c>
    </row>
    <row r="67" ht="15" customHeight="1" s="36">
      <c r="A67" s="53" t="inlineStr">
        <is>
          <t>Tareas (hoja «Tareas»)</t>
        </is>
      </c>
      <c r="B67" s="35">
        <f>COUNTIF(Tareas!$B$3:$B$62,"Abierta")</f>
        <v/>
      </c>
      <c r="C67" s="35" t="n">
        <v>60</v>
      </c>
    </row>
    <row r="68" ht="15" customHeight="1" s="36">
      <c r="A68" s="53" t="inlineStr">
        <is>
          <t>Preguntas de negocio (hoja «Preguntas»)</t>
        </is>
      </c>
      <c r="B68" s="35">
        <f>COUNTIF(Preguntas!$B$3:$B$60,"Abierta")</f>
        <v/>
      </c>
      <c r="C68" s="35" t="n">
        <v>58</v>
      </c>
    </row>
    <row r="69" ht="15" customHeight="1" s="36">
      <c r="A69" s="53" t="inlineStr">
        <is>
          <t>De ellas, criticas (rojas) y sin respuesta</t>
        </is>
      </c>
      <c r="B69" s="35">
        <f>COUNTIFS(Preguntas!$B$3:$B$60,"Abierta",Preguntas!$C$3:$C$60,"Critica")+COUNTIFS(Tareas!$B$3:$B$62,"Abierta",Tareas!$C$3:$C$62,"Critica")</f>
        <v/>
      </c>
    </row>
    <row r="70" ht="15" customHeight="1" s="36">
      <c r="A70" s="53" t="n"/>
    </row>
    <row r="71" ht="15" customHeight="1" s="36">
      <c r="A71" s="53" t="inlineStr">
        <is>
          <t>- Una pregunta abierta no es una duda: es trabajo parado. Q-40 (tu contador) para las retenciones, Q-44 (tu contador) la facturacion, T-09 (tu abogado) toda activacion de creadores.</t>
        </is>
      </c>
    </row>
  </sheetData>
  <mergeCells count="5">
    <mergeCell ref="A53:E53"/>
    <mergeCell ref="A50:E50"/>
    <mergeCell ref="A52:E52"/>
    <mergeCell ref="A49:E49"/>
    <mergeCell ref="A51:E5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0" customWidth="1" style="35" min="1" max="1"/>
    <col width="12" customWidth="1" style="35" min="2" max="2"/>
    <col width="20" customWidth="1" style="35" min="3" max="3"/>
    <col width="95" customWidth="1" style="35" min="4" max="4"/>
  </cols>
  <sheetData>
    <row r="1" ht="15" customHeight="1" s="36">
      <c r="A1" s="54" t="inlineStr">
        <is>
          <t>Estados y su peso en el avance</t>
        </is>
      </c>
    </row>
    <row r="2" ht="15" customHeight="1" s="36">
      <c r="A2" s="52" t="inlineStr">
        <is>
          <t>Estado</t>
        </is>
      </c>
      <c r="B2" s="52" t="inlineStr">
        <is>
          <t>Peso</t>
        </is>
      </c>
      <c r="C2" s="52" t="inlineStr">
        <is>
          <t>Cuenta en el total</t>
        </is>
      </c>
      <c r="D2" s="52" t="inlineStr">
        <is>
          <t>Que significa</t>
        </is>
      </c>
    </row>
    <row r="3" ht="15" customHeight="1" s="36">
      <c r="A3" s="53" t="inlineStr">
        <is>
          <t>Terminado</t>
        </is>
      </c>
      <c r="B3" s="55" t="n">
        <v>1</v>
      </c>
      <c r="C3" s="53" t="n">
        <v>1</v>
      </c>
      <c r="D3" s="53" t="inlineStr">
        <is>
          <t>Entregado, verificado y con su documento de iteracion cerrado.</t>
        </is>
      </c>
    </row>
    <row r="4" ht="15" customHeight="1" s="36">
      <c r="A4" s="53" t="inlineStr">
        <is>
          <t>En curso</t>
        </is>
      </c>
      <c r="B4" s="55" t="n">
        <v>0.5</v>
      </c>
      <c r="C4" s="53" t="n">
        <v>1</v>
      </c>
      <c r="D4" s="53" t="inlineStr">
        <is>
          <t>Hay trabajo hecho y demostrable, pero la actividad no esta completa. Cuenta como medio.</t>
        </is>
      </c>
    </row>
    <row r="5" ht="15" customHeight="1" s="36">
      <c r="A5" s="53" t="inlineStr">
        <is>
          <t>Pendiente</t>
        </is>
      </c>
      <c r="B5" s="55" t="n">
        <v>0</v>
      </c>
      <c r="C5" s="53" t="n">
        <v>1</v>
      </c>
      <c r="D5" s="53" t="inlineStr">
        <is>
          <t>No empezada.</t>
        </is>
      </c>
    </row>
    <row r="6" ht="15" customHeight="1" s="36">
      <c r="A6" s="53" t="inlineStr">
        <is>
          <t>Bloqueado</t>
        </is>
      </c>
      <c r="B6" s="55" t="n">
        <v>0</v>
      </c>
      <c r="C6" s="53" t="n">
        <v>1</v>
      </c>
      <c r="D6" s="53" t="inlineStr">
        <is>
          <t>No se puede avanzar sin una decision externa (contador, abogado, proveedor).</t>
        </is>
      </c>
    </row>
    <row r="7" ht="15" customHeight="1" s="36">
      <c r="A7" s="53" t="inlineStr">
        <is>
          <t>Aplazado</t>
        </is>
      </c>
      <c r="B7" s="55" t="n">
        <v>0</v>
      </c>
      <c r="C7" s="53" t="n">
        <v>0</v>
      </c>
      <c r="D7" s="53" t="inlineStr">
        <is>
          <t>Movida a proposito a otro momento del plan. NO cuenta en el denominador para no contarla dos veces.</t>
        </is>
      </c>
    </row>
    <row r="8" ht="15" customHeight="1" s="36">
      <c r="A8" s="53" t="inlineStr">
        <is>
          <t>No aplica</t>
        </is>
      </c>
      <c r="B8" s="55" t="n">
        <v>0</v>
      </c>
      <c r="C8" s="53" t="n">
        <v>0</v>
      </c>
      <c r="D8" s="53" t="inlineStr">
        <is>
          <t>Descartada del alcance. No cuenta en el denominador.</t>
        </is>
      </c>
    </row>
    <row r="9" ht="15" customHeight="1" s="36">
      <c r="A9" s="53" t="n"/>
      <c r="B9" s="53" t="n"/>
      <c r="C9" s="53" t="n"/>
      <c r="D9" s="53" t="n"/>
    </row>
    <row r="10" ht="15" customHeight="1" s="36">
      <c r="A10" s="53" t="n"/>
      <c r="B10" s="53" t="n"/>
      <c r="C10" s="53" t="n"/>
      <c r="D10" s="53" t="n"/>
    </row>
    <row r="11" ht="15" customHeight="1" s="36">
      <c r="A11" s="54" t="inlineStr">
        <is>
          <t>Esfuerzo estimado por ola (docs/04-ROADMAP, punto medio del rango)</t>
        </is>
      </c>
    </row>
    <row r="12" ht="15" customHeight="1" s="36">
      <c r="A12" s="52" t="inlineStr">
        <is>
          <t>Ola</t>
        </is>
      </c>
      <c r="B12" s="52" t="inlineStr">
        <is>
          <t>Semanas</t>
        </is>
      </c>
      <c r="C12" s="52" t="inlineStr">
        <is>
          <t>Rango original</t>
        </is>
      </c>
      <c r="D12" s="52" t="n"/>
    </row>
    <row r="13" ht="15" customHeight="1" s="36">
      <c r="A13" s="53" t="inlineStr">
        <is>
          <t>Ola 0 - Fundaciones</t>
        </is>
      </c>
      <c r="B13" s="53" t="n">
        <v>8.5</v>
      </c>
      <c r="C13" s="53" t="inlineStr">
        <is>
          <t>7 a 10 semanas</t>
        </is>
      </c>
      <c r="D13" s="53" t="n"/>
    </row>
    <row r="14" ht="15" customHeight="1" s="36">
      <c r="A14" s="53" t="inlineStr">
        <is>
          <t>Ola 1 - MVP: operar sin Excel</t>
        </is>
      </c>
      <c r="B14" s="53" t="n">
        <v>12</v>
      </c>
      <c r="C14" s="53" t="inlineStr">
        <is>
          <t>10 a 14 semanas</t>
        </is>
      </c>
      <c r="D14" s="53" t="n"/>
    </row>
    <row r="15" ht="15" customHeight="1" s="36">
      <c r="A15" s="53" t="inlineStr">
        <is>
          <t>Ola 2 - Escalar comercialmente</t>
        </is>
      </c>
      <c r="B15" s="53" t="n">
        <v>14</v>
      </c>
      <c r="C15" s="53" t="inlineStr">
        <is>
          <t>12 a 16 semanas</t>
        </is>
      </c>
      <c r="D15" s="53" t="n"/>
    </row>
    <row r="16" ht="15" customHeight="1" s="36">
      <c r="A16" s="53" t="inlineStr">
        <is>
          <t>Ola 3 - Internacionalizar y endurecer</t>
        </is>
      </c>
      <c r="B16" s="53" t="n">
        <v>10</v>
      </c>
      <c r="C16" s="53" t="inlineStr">
        <is>
          <t>8 a 12 semanas</t>
        </is>
      </c>
      <c r="D16" s="53" t="n"/>
    </row>
    <row r="17" ht="15" customHeight="1" s="36">
      <c r="A17" s="53" t="n"/>
      <c r="B17" s="53" t="n"/>
      <c r="C17" s="53" t="n"/>
      <c r="D17" s="53" t="n"/>
    </row>
    <row r="18" ht="15" customHeight="1" s="36">
      <c r="A18" s="53" t="n"/>
      <c r="B18" s="53" t="n"/>
      <c r="C18" s="53" t="n"/>
      <c r="D18" s="53" t="n"/>
    </row>
    <row r="19" ht="15" customHeight="1" s="36">
      <c r="A19" s="56" t="inlineStr">
        <is>
          <t>Estas semanas son para 2 desarrolladores a tiempo completo. Con 1 solo, el propio roadmap dice que hay que multiplicar por 1,7.</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J18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35" min="1" max="1"/>
    <col width="30" customWidth="1" style="35" min="2" max="2"/>
    <col width="7" customWidth="1" style="35" min="3" max="3"/>
    <col width="26" customWidth="1" style="35" min="4" max="4"/>
    <col width="7" customWidth="1" style="35" min="5" max="5"/>
    <col width="62" customWidth="1" style="35" min="6" max="6"/>
    <col width="14" customWidth="1" style="35" min="7" max="7"/>
    <col width="10" customWidth="1" style="35" min="8" max="8"/>
    <col width="9" customWidth="1" style="35" min="9" max="9"/>
    <col width="85" customWidth="1" style="35" min="10" max="10"/>
  </cols>
  <sheetData>
    <row r="1" ht="24" customHeight="1" s="36">
      <c r="A1" s="40" t="inlineStr">
        <is>
          <t>ID</t>
        </is>
      </c>
      <c r="B1" s="40" t="inlineStr">
        <is>
          <t>Ola</t>
        </is>
      </c>
      <c r="C1" s="40" t="inlineStr">
        <is>
          <t>Fase</t>
        </is>
      </c>
      <c r="D1" s="40" t="inlineStr">
        <is>
          <t>Nombre de fase</t>
        </is>
      </c>
      <c r="E1" s="40" t="inlineStr">
        <is>
          <t>It.</t>
        </is>
      </c>
      <c r="F1" s="40" t="inlineStr">
        <is>
          <t>Actividad</t>
        </is>
      </c>
      <c r="G1" s="40" t="inlineStr">
        <is>
          <t>Estado</t>
        </is>
      </c>
      <c r="H1" s="40" t="inlineStr">
        <is>
          <t>Avance</t>
        </is>
      </c>
      <c r="I1" s="40" t="inlineStr">
        <is>
          <t>Cuenta</t>
        </is>
      </c>
      <c r="J1" s="40" t="inlineStr">
        <is>
          <t>Notas y evidencia</t>
        </is>
      </c>
    </row>
    <row r="2" ht="23.25" customHeight="1" s="36">
      <c r="A2" s="57" t="n">
        <v>1</v>
      </c>
      <c r="B2" s="57" t="inlineStr">
        <is>
          <t>Ola 0 - Fundaciones</t>
        </is>
      </c>
      <c r="C2" s="57" t="inlineStr">
        <is>
          <t>F0</t>
        </is>
      </c>
      <c r="D2" s="57" t="inlineStr">
        <is>
          <t>Discovery</t>
        </is>
      </c>
      <c r="E2" s="58" t="inlineStr">
        <is>
          <t>0.1</t>
        </is>
      </c>
      <c r="F2" s="59" t="inlineStr">
        <is>
          <t>Definicion de producto, actores, dominios, modulos, procesos, arquitectura, roadmap, decision log, business rules, DoD</t>
        </is>
      </c>
      <c r="G2" s="60" t="inlineStr">
        <is>
          <t>Terminado</t>
        </is>
      </c>
      <c r="H2" s="61">
        <f>IFERROR(INDEX(Config!$B$3:$B$8,MATCH($G2,Config!$A$3:$A$8,0)),0)</f>
        <v/>
      </c>
      <c r="I2" s="60">
        <f>IFERROR(INDEX(Config!$C$3:$C$8,MATCH($G2,Config!$A$3:$A$8,0)),0)</f>
        <v/>
      </c>
      <c r="J2" s="59" t="inlineStr">
        <is>
          <t>18 documentos en docs/. DEC-001 a DEC-098 registradas</t>
        </is>
      </c>
    </row>
    <row r="3" ht="23.25" customHeight="1" s="36">
      <c r="A3" s="57" t="n">
        <v>2</v>
      </c>
      <c r="B3" s="57" t="inlineStr">
        <is>
          <t>Ola 0 - Fundaciones</t>
        </is>
      </c>
      <c r="C3" s="57" t="inlineStr">
        <is>
          <t>F1</t>
        </is>
      </c>
      <c r="D3" s="57" t="inlineStr">
        <is>
          <t>Arquitectura y esqueleto</t>
        </is>
      </c>
      <c r="E3" s="58" t="inlineStr">
        <is>
          <t>1.1</t>
        </is>
      </c>
      <c r="F3" s="59" t="inlineStr">
        <is>
          <t>Stack, hosting y proveedores definitivos (SMTP, storage, error tracking)</t>
        </is>
      </c>
      <c r="G3" s="60" t="inlineStr">
        <is>
          <t>En curso</t>
        </is>
      </c>
      <c r="H3" s="61">
        <f>IFERROR(INDEX(Config!$B$3:$B$8,MATCH($G3,Config!$A$3:$A$8,0)),0)</f>
        <v/>
      </c>
      <c r="I3" s="60">
        <f>IFERROR(INDEX(Config!$C$3:$C$8,MATCH($G3,Config!$A$3:$A$8,0)),0)</f>
        <v/>
      </c>
      <c r="J3" s="59" t="inlineStr">
        <is>
          <t>Stack cerrado (Laravel 12 / PHP 8.3 / MySQL-Percona). Hosting: solicitud redactada en tools/solicitud-hosting-mysql8.md, sin contratar. SMTP, S3 y error tracking sin proveedor</t>
        </is>
      </c>
    </row>
    <row r="4" ht="15" customHeight="1" s="36">
      <c r="A4" s="57" t="n">
        <v>3</v>
      </c>
      <c r="B4" s="57" t="inlineStr">
        <is>
          <t>Ola 0 - Fundaciones</t>
        </is>
      </c>
      <c r="C4" s="57" t="inlineStr">
        <is>
          <t>F1</t>
        </is>
      </c>
      <c r="D4" s="57" t="inlineStr">
        <is>
          <t>Arquitectura y esqueleto</t>
        </is>
      </c>
      <c r="E4" s="58" t="inlineStr">
        <is>
          <t>1.2</t>
        </is>
      </c>
      <c r="F4" s="59" t="inlineStr">
        <is>
          <t>Esqueleto del proyecto, estructura de modulos, Composer, .env.example</t>
        </is>
      </c>
      <c r="G4" s="60" t="inlineStr">
        <is>
          <t>Terminado</t>
        </is>
      </c>
      <c r="H4" s="61">
        <f>IFERROR(INDEX(Config!$B$3:$B$8,MATCH($G4,Config!$A$3:$A$8,0)),0)</f>
        <v/>
      </c>
      <c r="I4" s="60">
        <f>IFERROR(INDEX(Config!$C$3:$C$8,MATCH($G4,Config!$A$3:$A$8,0)),0)</f>
        <v/>
      </c>
      <c r="J4" s="59" t="inlineStr">
        <is>
          <t>13 contextos + Shared. .env.example en el repo</t>
        </is>
      </c>
    </row>
    <row r="5" ht="23.25" customHeight="1" s="36">
      <c r="A5" s="57" t="n">
        <v>4</v>
      </c>
      <c r="B5" s="57" t="inlineStr">
        <is>
          <t>Ola 0 - Fundaciones</t>
        </is>
      </c>
      <c r="C5" s="57" t="inlineStr">
        <is>
          <t>F1</t>
        </is>
      </c>
      <c r="D5" s="57" t="inlineStr">
        <is>
          <t>Arquitectura y esqueleto</t>
        </is>
      </c>
      <c r="E5" s="58" t="inlineStr">
        <is>
          <t>1.3</t>
        </is>
      </c>
      <c r="F5" s="59" t="inlineStr">
        <is>
          <t>CI: lint, analisis estatico, pruebas, Deptrac (fronteras de modulos)</t>
        </is>
      </c>
      <c r="G5" s="60" t="inlineStr">
        <is>
          <t>Terminado</t>
        </is>
      </c>
      <c r="H5" s="61">
        <f>IFERROR(INDEX(Config!$B$3:$B$8,MATCH($G5,Config!$A$3:$A$8,0)),0)</f>
        <v/>
      </c>
      <c r="I5" s="60">
        <f>IFERROR(INDEX(Config!$C$3:$C$8,MATCH($G5,Config!$A$3:$A$8,0)),0)</f>
        <v/>
      </c>
      <c r="J5" s="59" t="inlineStr">
        <is>
          <t>Seis puertas en verde: Pint, PHPStan, Deptrac, PHPUnit, vigencias, nombres entre capas. .github/workflows/ci.yml</t>
        </is>
      </c>
    </row>
    <row r="6" ht="23.25" customHeight="1" s="36">
      <c r="A6" s="57" t="n">
        <v>5</v>
      </c>
      <c r="B6" s="57" t="inlineStr">
        <is>
          <t>Ola 0 - Fundaciones</t>
        </is>
      </c>
      <c r="C6" s="57" t="inlineStr">
        <is>
          <t>F1</t>
        </is>
      </c>
      <c r="D6" s="57" t="inlineStr">
        <is>
          <t>Arquitectura y esqueleto</t>
        </is>
      </c>
      <c r="E6" s="58" t="inlineStr">
        <is>
          <t>1.4</t>
        </is>
      </c>
      <c r="F6" s="59" t="inlineStr">
        <is>
          <t>Convenciones: naming, commits, ramas, PR template, ADRs</t>
        </is>
      </c>
      <c r="G6" s="60" t="inlineStr">
        <is>
          <t>Terminado</t>
        </is>
      </c>
      <c r="H6" s="61">
        <f>IFERROR(INDEX(Config!$B$3:$B$8,MATCH($G6,Config!$A$3:$A$8,0)),0)</f>
        <v/>
      </c>
      <c r="I6" s="60">
        <f>IFERROR(INDEX(Config!$C$3:$C$8,MATCH($G6,Config!$A$3:$A$8,0)),0)</f>
        <v/>
      </c>
      <c r="J6" s="59" t="inlineStr">
        <is>
          <t>CONTRIBUTING.md + docs/03-ARCHITECTURE.md. Las decisiones van al DECISION LOG (DEC-nnn), no a ADRs sueltos</t>
        </is>
      </c>
    </row>
    <row r="7" ht="15" customHeight="1" s="36">
      <c r="A7" s="57" t="n">
        <v>6</v>
      </c>
      <c r="B7" s="57" t="inlineStr">
        <is>
          <t>Ola 0 - Fundaciones</t>
        </is>
      </c>
      <c r="C7" s="57" t="inlineStr">
        <is>
          <t>F2</t>
        </is>
      </c>
      <c r="D7" s="57" t="inlineStr">
        <is>
          <t>Modelo de datos</t>
        </is>
      </c>
      <c r="E7" s="58" t="inlineStr">
        <is>
          <t>2.1</t>
        </is>
      </c>
      <c r="F7" s="59" t="inlineStr">
        <is>
          <t>Entidades y glosario de negocio</t>
        </is>
      </c>
      <c r="G7" s="60" t="inlineStr">
        <is>
          <t>Terminado</t>
        </is>
      </c>
      <c r="H7" s="61">
        <f>IFERROR(INDEX(Config!$B$3:$B$8,MATCH($G7,Config!$A$3:$A$8,0)),0)</f>
        <v/>
      </c>
      <c r="I7" s="60">
        <f>IFERROR(INDEX(Config!$C$3:$C$8,MATCH($G7,Config!$A$3:$A$8,0)),0)</f>
        <v/>
      </c>
      <c r="J7" s="59" t="inlineStr">
        <is>
          <t>docs/fase-2/2.1</t>
        </is>
      </c>
    </row>
    <row r="8" ht="15" customHeight="1" s="36">
      <c r="A8" s="57" t="n">
        <v>7</v>
      </c>
      <c r="B8" s="57" t="inlineStr">
        <is>
          <t>Ola 0 - Fundaciones</t>
        </is>
      </c>
      <c r="C8" s="57" t="inlineStr">
        <is>
          <t>F2</t>
        </is>
      </c>
      <c r="D8" s="57" t="inlineStr">
        <is>
          <t>Modelo de datos</t>
        </is>
      </c>
      <c r="E8" s="58" t="inlineStr">
        <is>
          <t>2.2</t>
        </is>
      </c>
      <c r="F8" s="59" t="inlineStr">
        <is>
          <t>Relaciones y cardinalidades</t>
        </is>
      </c>
      <c r="G8" s="60" t="inlineStr">
        <is>
          <t>Terminado</t>
        </is>
      </c>
      <c r="H8" s="61">
        <f>IFERROR(INDEX(Config!$B$3:$B$8,MATCH($G8,Config!$A$3:$A$8,0)),0)</f>
        <v/>
      </c>
      <c r="I8" s="60">
        <f>IFERROR(INDEX(Config!$C$3:$C$8,MATCH($G8,Config!$A$3:$A$8,0)),0)</f>
        <v/>
      </c>
      <c r="J8" s="59" t="inlineStr">
        <is>
          <t>docs/fase-2/2.2</t>
        </is>
      </c>
    </row>
    <row r="9" ht="15" customHeight="1" s="36">
      <c r="A9" s="57" t="n">
        <v>8</v>
      </c>
      <c r="B9" s="57" t="inlineStr">
        <is>
          <t>Ola 0 - Fundaciones</t>
        </is>
      </c>
      <c r="C9" s="57" t="inlineStr">
        <is>
          <t>F2</t>
        </is>
      </c>
      <c r="D9" s="57" t="inlineStr">
        <is>
          <t>Modelo de datos</t>
        </is>
      </c>
      <c r="E9" s="58" t="inlineStr">
        <is>
          <t>2.3</t>
        </is>
      </c>
      <c r="F9" s="59" t="inlineStr">
        <is>
          <t>Normalizacion y separacion aplicacion/creador, cliente/marca/contacto</t>
        </is>
      </c>
      <c r="G9" s="60" t="inlineStr">
        <is>
          <t>Terminado</t>
        </is>
      </c>
      <c r="H9" s="61">
        <f>IFERROR(INDEX(Config!$B$3:$B$8,MATCH($G9,Config!$A$3:$A$8,0)),0)</f>
        <v/>
      </c>
      <c r="I9" s="60">
        <f>IFERROR(INDEX(Config!$C$3:$C$8,MATCH($G9,Config!$A$3:$A$8,0)),0)</f>
        <v/>
      </c>
      <c r="J9" s="59" t="inlineStr">
        <is>
          <t>docs/fase-2/2.3. Incluye N-03, implementada en 7.3</t>
        </is>
      </c>
    </row>
    <row r="10" ht="15" customHeight="1" s="36">
      <c r="A10" s="57" t="n">
        <v>9</v>
      </c>
      <c r="B10" s="57" t="inlineStr">
        <is>
          <t>Ola 0 - Fundaciones</t>
        </is>
      </c>
      <c r="C10" s="57" t="inlineStr">
        <is>
          <t>F2</t>
        </is>
      </c>
      <c r="D10" s="57" t="inlineStr">
        <is>
          <t>Modelo de datos</t>
        </is>
      </c>
      <c r="E10" s="58" t="inlineStr">
        <is>
          <t>2.4</t>
        </is>
      </c>
      <c r="F10" s="59" t="inlineStr">
        <is>
          <t>Estados, transiciones e historicos</t>
        </is>
      </c>
      <c r="G10" s="60" t="inlineStr">
        <is>
          <t>Terminado</t>
        </is>
      </c>
      <c r="H10" s="61">
        <f>IFERROR(INDEX(Config!$B$3:$B$8,MATCH($G10,Config!$A$3:$A$8,0)),0)</f>
        <v/>
      </c>
      <c r="I10" s="60">
        <f>IFERROR(INDEX(Config!$C$3:$C$8,MATCH($G10,Config!$A$3:$A$8,0)),0)</f>
        <v/>
      </c>
      <c r="J10" s="59" t="inlineStr">
        <is>
          <t>docs/fase-2/2.4 y 2.5. Tabla status_transitions + maquinas de estado en codigo</t>
        </is>
      </c>
    </row>
    <row r="11" ht="15" customHeight="1" s="36">
      <c r="A11" s="57" t="n">
        <v>10</v>
      </c>
      <c r="B11" s="57" t="inlineStr">
        <is>
          <t>Ola 0 - Fundaciones</t>
        </is>
      </c>
      <c r="C11" s="57" t="inlineStr">
        <is>
          <t>F2</t>
        </is>
      </c>
      <c r="D11" s="57" t="inlineStr">
        <is>
          <t>Modelo de datos</t>
        </is>
      </c>
      <c r="E11" s="58" t="inlineStr">
        <is>
          <t>2.5</t>
        </is>
      </c>
      <c r="F11" s="59" t="inlineStr">
        <is>
          <t>Finanzas: ledger, monedas, impuestos, retenciones, facturacion</t>
        </is>
      </c>
      <c r="G11" s="60" t="inlineStr">
        <is>
          <t>Terminado</t>
        </is>
      </c>
      <c r="H11" s="61">
        <f>IFERROR(INDEX(Config!$B$3:$B$8,MATCH($G11,Config!$A$3:$A$8,0)),0)</f>
        <v/>
      </c>
      <c r="I11" s="60">
        <f>IFERROR(INDEX(Config!$C$3:$C$8,MATCH($G11,Config!$A$3:$A$8,0)),0)</f>
        <v/>
      </c>
      <c r="J11" s="59" t="inlineStr">
        <is>
          <t>docs/fase-2/2.13 y 2.15. DISENO cerrado; la construccion es F9</t>
        </is>
      </c>
    </row>
    <row r="12" ht="23.25" customHeight="1" s="36">
      <c r="A12" s="57" t="n">
        <v>11</v>
      </c>
      <c r="B12" s="57" t="inlineStr">
        <is>
          <t>Ola 0 - Fundaciones</t>
        </is>
      </c>
      <c r="C12" s="57" t="inlineStr">
        <is>
          <t>F2</t>
        </is>
      </c>
      <c r="D12" s="57" t="inlineStr">
        <is>
          <t>Modelo de datos</t>
        </is>
      </c>
      <c r="E12" s="58" t="inlineStr">
        <is>
          <t>2.6</t>
        </is>
      </c>
      <c r="F12" s="59" t="inlineStr">
        <is>
          <t>Multi-entidad legal: marcas de plataforma, entidades legales, cobertura con vigencia, series, cuentas</t>
        </is>
      </c>
      <c r="G12" s="60" t="inlineStr">
        <is>
          <t>Terminado</t>
        </is>
      </c>
      <c r="H12" s="61">
        <f>IFERROR(INDEX(Config!$B$3:$B$8,MATCH($G12,Config!$A$3:$A$8,0)),0)</f>
        <v/>
      </c>
      <c r="I12" s="60">
        <f>IFERROR(INDEX(Config!$C$3:$C$8,MATCH($G12,Config!$A$3:$A$8,0)),0)</f>
        <v/>
      </c>
      <c r="J12" s="59" t="inlineStr">
        <is>
          <t>docs/fase-2/2.10. Construido en 4.5b</t>
        </is>
      </c>
    </row>
    <row r="13" ht="23.25" customHeight="1" s="36">
      <c r="A13" s="57" t="n">
        <v>12</v>
      </c>
      <c r="B13" s="57" t="inlineStr">
        <is>
          <t>Ola 0 - Fundaciones</t>
        </is>
      </c>
      <c r="C13" s="57" t="inlineStr">
        <is>
          <t>F2</t>
        </is>
      </c>
      <c r="D13" s="57" t="inlineStr">
        <is>
          <t>Modelo de datos</t>
        </is>
      </c>
      <c r="E13" s="58" t="inlineStr">
        <is>
          <t>2.7</t>
        </is>
      </c>
      <c r="F13" s="59" t="inlineStr">
        <is>
          <t>Integraciones: proveedores, conexiones, asignaciones con vigencia, credenciales, webhooks, trazas</t>
        </is>
      </c>
      <c r="G13" s="60" t="inlineStr">
        <is>
          <t>Pendiente</t>
        </is>
      </c>
      <c r="H13" s="61">
        <f>IFERROR(INDEX(Config!$B$3:$B$8,MATCH($G13,Config!$A$3:$A$8,0)),0)</f>
        <v/>
      </c>
      <c r="I13" s="60">
        <f>IFERROR(INDEX(Config!$C$3:$C$8,MATCH($G13,Config!$A$3:$A$8,0)),0)</f>
        <v/>
      </c>
      <c r="J13" s="59" t="inlineStr">
        <is>
          <t>Sin documento y sin tablas integration_*. Bloquea F4.6b y toda la F12</t>
        </is>
      </c>
    </row>
    <row r="14" ht="23.25" customHeight="1" s="36">
      <c r="A14" s="57" t="n">
        <v>13</v>
      </c>
      <c r="B14" s="57" t="inlineStr">
        <is>
          <t>Ola 0 - Fundaciones</t>
        </is>
      </c>
      <c r="C14" s="57" t="inlineStr">
        <is>
          <t>F2</t>
        </is>
      </c>
      <c r="D14" s="57" t="inlineStr">
        <is>
          <t>Modelo de datos</t>
        </is>
      </c>
      <c r="E14" s="58" t="inlineStr">
        <is>
          <t>2.8</t>
        </is>
      </c>
      <c r="F14" s="59" t="inlineStr">
        <is>
          <t>Multipais, multimoneda, multiidioma, zonas horarias</t>
        </is>
      </c>
      <c r="G14" s="60" t="inlineStr">
        <is>
          <t>En curso</t>
        </is>
      </c>
      <c r="H14" s="61">
        <f>IFERROR(INDEX(Config!$B$3:$B$8,MATCH($G14,Config!$A$3:$A$8,0)),0)</f>
        <v/>
      </c>
      <c r="I14" s="60">
        <f>IFERROR(INDEX(Config!$C$3:$C$8,MATCH($G14,Config!$A$3:$A$8,0)),0)</f>
        <v/>
      </c>
      <c r="J14" s="59" t="inlineStr">
        <is>
          <t>countries, currencies, languages y las traducciones existen y estan sembradas. Falta el documento y la revision de reglas de Peru incrustadas</t>
        </is>
      </c>
    </row>
    <row r="15" ht="15" customHeight="1" s="36">
      <c r="A15" s="57" t="n">
        <v>14</v>
      </c>
      <c r="B15" s="57" t="inlineStr">
        <is>
          <t>Ola 0 - Fundaciones</t>
        </is>
      </c>
      <c r="C15" s="57" t="inlineStr">
        <is>
          <t>F2</t>
        </is>
      </c>
      <c r="D15" s="57" t="inlineStr">
        <is>
          <t>Modelo de datos</t>
        </is>
      </c>
      <c r="E15" s="58" t="inlineStr">
        <is>
          <t>2.9</t>
        </is>
      </c>
      <c r="F15" s="59" t="inlineStr">
        <is>
          <t>Auditoria, permisos y ambito de acceso externo (cliente / creador)</t>
        </is>
      </c>
      <c r="G15" s="60" t="inlineStr">
        <is>
          <t>En curso</t>
        </is>
      </c>
      <c r="H15" s="61">
        <f>IFERROR(INDEX(Config!$B$3:$B$8,MATCH($G15,Config!$A$3:$A$8,0)),0)</f>
        <v/>
      </c>
      <c r="I15" s="60">
        <f>IFERROR(INDEX(Config!$C$3:$C$8,MATCH($G15,Config!$A$3:$A$8,0)),0)</f>
        <v/>
      </c>
      <c r="J15" s="59" t="inlineStr">
        <is>
          <t>Auditoria y permisos construidos (3.1, 3.2, 3.3). El AMBITO externo no: no hay portales todavia</t>
        </is>
      </c>
    </row>
    <row r="16" ht="15" customHeight="1" s="36">
      <c r="A16" s="57" t="n">
        <v>15</v>
      </c>
      <c r="B16" s="57" t="inlineStr">
        <is>
          <t>Ola 0 - Fundaciones</t>
        </is>
      </c>
      <c r="C16" s="57" t="inlineStr">
        <is>
          <t>F2</t>
        </is>
      </c>
      <c r="D16" s="57" t="inlineStr">
        <is>
          <t>Modelo de datos</t>
        </is>
      </c>
      <c r="E16" s="58" t="inlineStr">
        <is>
          <t>2.10</t>
        </is>
      </c>
      <c r="F16" s="59" t="inlineStr">
        <is>
          <t>Indices, volumetria, plan de crecimiento, archivado</t>
        </is>
      </c>
      <c r="G16" s="60" t="inlineStr">
        <is>
          <t>Aplazado</t>
        </is>
      </c>
      <c r="H16" s="61">
        <f>IFERROR(INDEX(Config!$B$3:$B$8,MATCH($G16,Config!$A$3:$A$8,0)),0)</f>
        <v/>
      </c>
      <c r="I16" s="60">
        <f>IFERROR(INDEX(Config!$C$3:$C$8,MATCH($G16,Config!$A$3:$A$8,0)),0)</f>
        <v/>
      </c>
      <c r="J16" s="59" t="inlineStr">
        <is>
          <t>Movida a proposito al final de F7 (docs/15 §5): los indices se disenan contra consultas reales</t>
        </is>
      </c>
    </row>
    <row r="17" ht="15" customHeight="1" s="36">
      <c r="A17" s="57" t="n">
        <v>16</v>
      </c>
      <c r="B17" s="57" t="inlineStr">
        <is>
          <t>Ola 0 - Fundaciones</t>
        </is>
      </c>
      <c r="C17" s="57" t="inlineStr">
        <is>
          <t>F2</t>
        </is>
      </c>
      <c r="D17" s="57" t="inlineStr">
        <is>
          <t>Modelo de datos</t>
        </is>
      </c>
      <c r="E17" s="58" t="inlineStr">
        <is>
          <t>2.11</t>
        </is>
      </c>
      <c r="F17" s="59" t="inlineStr">
        <is>
          <t>Revision adversarial del modelo + ERD final</t>
        </is>
      </c>
      <c r="G17" s="60" t="inlineStr">
        <is>
          <t>Terminado</t>
        </is>
      </c>
      <c r="H17" s="61">
        <f>IFERROR(INDEX(Config!$B$3:$B$8,MATCH($G17,Config!$A$3:$A$8,0)),0)</f>
        <v/>
      </c>
      <c r="I17" s="60">
        <f>IFERROR(INDEX(Config!$C$3:$C$8,MATCH($G17,Config!$A$3:$A$8,0)),0)</f>
        <v/>
      </c>
      <c r="J17" s="59" t="inlineStr">
        <is>
          <t>Hecha. Dejo siete hallazgos, los siete cerrados (el ultimo, T-23). Falta publicar el ERD como imagen</t>
        </is>
      </c>
    </row>
    <row r="18" ht="15" customHeight="1" s="36">
      <c r="A18" s="57" t="n">
        <v>17</v>
      </c>
      <c r="B18" s="57" t="inlineStr">
        <is>
          <t>Ola 0 - Fundaciones</t>
        </is>
      </c>
      <c r="C18" s="57" t="inlineStr">
        <is>
          <t>F3</t>
        </is>
      </c>
      <c r="D18" s="57" t="inlineStr">
        <is>
          <t>Design System y UX</t>
        </is>
      </c>
      <c r="E18" s="58" t="inlineStr">
        <is>
          <t>3.1</t>
        </is>
      </c>
      <c r="F18" s="59" t="inlineStr">
        <is>
          <t>Journeys de los 6 perfiles</t>
        </is>
      </c>
      <c r="G18" s="60" t="inlineStr">
        <is>
          <t>Pendiente</t>
        </is>
      </c>
      <c r="H18" s="61">
        <f>IFERROR(INDEX(Config!$B$3:$B$8,MATCH($G18,Config!$A$3:$A$8,0)),0)</f>
        <v/>
      </c>
      <c r="I18" s="60">
        <f>IFERROR(INDEX(Config!$C$3:$C$8,MATCH($G18,Config!$A$3:$A$8,0)),0)</f>
        <v/>
      </c>
      <c r="J18" s="59" t="n"/>
    </row>
    <row r="19" ht="15" customHeight="1" s="36">
      <c r="A19" s="57" t="n">
        <v>18</v>
      </c>
      <c r="B19" s="57" t="inlineStr">
        <is>
          <t>Ola 0 - Fundaciones</t>
        </is>
      </c>
      <c r="C19" s="57" t="inlineStr">
        <is>
          <t>F3</t>
        </is>
      </c>
      <c r="D19" s="57" t="inlineStr">
        <is>
          <t>Design System y UX</t>
        </is>
      </c>
      <c r="E19" s="58" t="inlineStr">
        <is>
          <t>3.2</t>
        </is>
      </c>
      <c r="F19" s="59" t="inlineStr">
        <is>
          <t>Tokens: color, tipografia, espaciado, radios, sombras, modo claro/oscuro</t>
        </is>
      </c>
      <c r="G19" s="60" t="inlineStr">
        <is>
          <t>Terminado</t>
        </is>
      </c>
      <c r="H19" s="61">
        <f>IFERROR(INDEX(Config!$B$3:$B$8,MATCH($G19,Config!$A$3:$A$8,0)),0)</f>
        <v/>
      </c>
      <c r="I19" s="60">
        <f>IFERROR(INDEX(Config!$C$3:$C$8,MATCH($G19,Config!$A$3:$A$8,0)),0)</f>
        <v/>
      </c>
      <c r="J19" s="59" t="inlineStr">
        <is>
          <t>Q-29/Q-30 respondidas (2026-08-30): la identidad visual se configura desde el admin (9.17). El kit de marca esta en marca/, pero el wordmark usa una tipografia de sistema y no una de diseno (T-71): en cuanto haya uno de verdad se sube desde la pantalla.</t>
        </is>
      </c>
    </row>
    <row r="20" ht="23.25" customHeight="1" s="36">
      <c r="A20" s="57" t="n">
        <v>19</v>
      </c>
      <c r="B20" s="57" t="inlineStr">
        <is>
          <t>Ola 0 - Fundaciones</t>
        </is>
      </c>
      <c r="C20" s="57" t="inlineStr">
        <is>
          <t>F3</t>
        </is>
      </c>
      <c r="D20" s="57" t="inlineStr">
        <is>
          <t>Design System y UX</t>
        </is>
      </c>
      <c r="E20" s="58" t="inlineStr">
        <is>
          <t>3.3</t>
        </is>
      </c>
      <c r="F20" s="59" t="inlineStr">
        <is>
          <t>Componentes base: botones, formularios, tablas, cards, badges, modales, tabs, alertas</t>
        </is>
      </c>
      <c r="G20" s="60" t="inlineStr">
        <is>
          <t>En curso</t>
        </is>
      </c>
      <c r="H20" s="61">
        <f>IFERROR(INDEX(Config!$B$3:$B$8,MATCH($G20,Config!$A$3:$A$8,0)),0)</f>
        <v/>
      </c>
      <c r="I20" s="60">
        <f>IFERROR(INDEX(Config!$C$3:$C$8,MATCH($G20,Config!$A$3:$A$8,0)),0)</f>
        <v/>
      </c>
      <c r="J20" s="59" t="inlineStr">
        <is>
          <t>Existen de facto en las plantillas del panel, sin catalogo ni documentacion</t>
        </is>
      </c>
    </row>
    <row r="21" ht="15" customHeight="1" s="36">
      <c r="A21" s="57" t="n">
        <v>20</v>
      </c>
      <c r="B21" s="57" t="inlineStr">
        <is>
          <t>Ola 0 - Fundaciones</t>
        </is>
      </c>
      <c r="C21" s="57" t="inlineStr">
        <is>
          <t>F3</t>
        </is>
      </c>
      <c r="D21" s="57" t="inlineStr">
        <is>
          <t>Design System y UX</t>
        </is>
      </c>
      <c r="E21" s="58" t="inlineStr">
        <is>
          <t>3.4</t>
        </is>
      </c>
      <c r="F21" s="59" t="inlineStr">
        <is>
          <t>Estados: vacio, carga, error, sin permisos, sin resultados</t>
        </is>
      </c>
      <c r="G21" s="60" t="inlineStr">
        <is>
          <t>En curso</t>
        </is>
      </c>
      <c r="H21" s="61">
        <f>IFERROR(INDEX(Config!$B$3:$B$8,MATCH($G21,Config!$A$3:$A$8,0)),0)</f>
        <v/>
      </c>
      <c r="I21" s="60">
        <f>IFERROR(INDEX(Config!$C$3:$C$8,MATCH($G21,Config!$A$3:$A$8,0)),0)</f>
        <v/>
      </c>
      <c r="J21" s="59" t="inlineStr">
        <is>
          <t>Vacio y sin permisos si (403 con motivo). Carga y error no estan sistematizados</t>
        </is>
      </c>
    </row>
    <row r="22" ht="15" customHeight="1" s="36">
      <c r="A22" s="57" t="n">
        <v>21</v>
      </c>
      <c r="B22" s="57" t="inlineStr">
        <is>
          <t>Ola 0 - Fundaciones</t>
        </is>
      </c>
      <c r="C22" s="57" t="inlineStr">
        <is>
          <t>F3</t>
        </is>
      </c>
      <c r="D22" s="57" t="inlineStr">
        <is>
          <t>Design System y UX</t>
        </is>
      </c>
      <c r="E22" s="58" t="inlineStr">
        <is>
          <t>3.5</t>
        </is>
      </c>
      <c r="F22" s="59" t="inlineStr">
        <is>
          <t>Wireframes de baja fidelidad de las 12 pantallas criticas</t>
        </is>
      </c>
      <c r="G22" s="60" t="inlineStr">
        <is>
          <t>Pendiente</t>
        </is>
      </c>
      <c r="H22" s="61">
        <f>IFERROR(INDEX(Config!$B$3:$B$8,MATCH($G22,Config!$A$3:$A$8,0)),0)</f>
        <v/>
      </c>
      <c r="I22" s="60">
        <f>IFERROR(INDEX(Config!$C$3:$C$8,MATCH($G22,Config!$A$3:$A$8,0)),0)</f>
        <v/>
      </c>
      <c r="J22" s="59" t="inlineStr">
        <is>
          <t>Se ha ido construyendo pantalla a pantalla sin wireframe previo</t>
        </is>
      </c>
    </row>
    <row r="23" ht="15" customHeight="1" s="36">
      <c r="A23" s="57" t="n">
        <v>22</v>
      </c>
      <c r="B23" s="57" t="inlineStr">
        <is>
          <t>Ola 0 - Fundaciones</t>
        </is>
      </c>
      <c r="C23" s="57" t="inlineStr">
        <is>
          <t>F3</t>
        </is>
      </c>
      <c r="D23" s="57" t="inlineStr">
        <is>
          <t>Design System y UX</t>
        </is>
      </c>
      <c r="E23" s="58" t="inlineStr">
        <is>
          <t>3.6</t>
        </is>
      </c>
      <c r="F23" s="59" t="inlineStr">
        <is>
          <t>Identidad diferenciada por portal</t>
        </is>
      </c>
      <c r="G23" s="60" t="inlineStr">
        <is>
          <t>Terminado</t>
        </is>
      </c>
      <c r="H23" s="61">
        <f>IFERROR(INDEX(Config!$B$3:$B$8,MATCH($G23,Config!$A$3:$A$8,0)),0)</f>
        <v/>
      </c>
      <c r="I23" s="60">
        <f>IFERROR(INDEX(Config!$C$3:$C$8,MATCH($G23,Config!$A$3:$A$8,0)),0)</f>
        <v/>
      </c>
      <c r="J23" s="59" t="inlineStr">
        <is>
          <t>Token de densidad por portal en design/tokens.css</t>
        </is>
      </c>
    </row>
    <row r="24" ht="15" customHeight="1" s="36">
      <c r="A24" s="57" t="n">
        <v>23</v>
      </c>
      <c r="B24" s="57" t="inlineStr">
        <is>
          <t>Ola 0 - Fundaciones</t>
        </is>
      </c>
      <c r="C24" s="57" t="inlineStr">
        <is>
          <t>F3</t>
        </is>
      </c>
      <c r="D24" s="57" t="inlineStr">
        <is>
          <t>Design System y UX</t>
        </is>
      </c>
      <c r="E24" s="58" t="inlineStr">
        <is>
          <t>3.7</t>
        </is>
      </c>
      <c r="F24" s="59" t="inlineStr">
        <is>
          <t>Sustituir assets del kit por los corregidos y publicar la guia de marca interna</t>
        </is>
      </c>
      <c r="G24" s="60" t="inlineStr">
        <is>
          <t>Pendiente</t>
        </is>
      </c>
      <c r="H24" s="61">
        <f>IFERROR(INDEX(Config!$B$3:$B$8,MATCH($G24,Config!$A$3:$A$8,0)),0)</f>
        <v/>
      </c>
      <c r="I24" s="60">
        <f>IFERROR(INDEX(Config!$C$3:$C$8,MATCH($G24,Config!$A$3:$A$8,0)),0)</f>
        <v/>
      </c>
      <c r="J24" s="59" t="inlineStr">
        <is>
          <t>Depende de Q-30 y Q-31</t>
        </is>
      </c>
    </row>
    <row r="25" ht="34.5" customHeight="1" s="36">
      <c r="A25" s="57" t="n">
        <v>24</v>
      </c>
      <c r="B25" s="57" t="inlineStr">
        <is>
          <t>Ola 0 - Fundaciones</t>
        </is>
      </c>
      <c r="C25" s="57" t="inlineStr">
        <is>
          <t>F4</t>
        </is>
      </c>
      <c r="D25" s="57" t="inlineStr">
        <is>
          <t>Core tecnico</t>
        </is>
      </c>
      <c r="E25" s="58" t="inlineStr">
        <is>
          <t>4.1</t>
        </is>
      </c>
      <c r="F25" s="59" t="inlineStr">
        <is>
          <t>Identidad: usuarios, login, logout, recuperacion, verificacion de email, sesiones</t>
        </is>
      </c>
      <c r="G25" s="60" t="inlineStr">
        <is>
          <t>Terminado</t>
        </is>
      </c>
      <c r="H25" s="61">
        <f>IFERROR(INDEX(Config!$B$3:$B$8,MATCH($G25,Config!$A$3:$A$8,0)),0)</f>
        <v/>
      </c>
      <c r="I25" s="60">
        <f>IFERROR(INDEX(Config!$C$3:$C$8,MATCH($G25,Config!$A$3:$A$8,0)),0)</f>
        <v/>
      </c>
      <c r="J25" s="59" t="inlineStr">
        <is>
          <t>docs/fase-5/5.9 y docs/fase-7/7.6b. DEC-113 a DEC-118 y DEC-126. Recuperacion por enlace, misma respuesta exista o no el correo, URL sin token. Desde 7.6b tampoco se teclea la del equipo (BR-SEC-004 cerrada). Falta la verificacion de correo</t>
        </is>
      </c>
    </row>
    <row r="26" ht="23.25" customHeight="1" s="36">
      <c r="A26" s="57" t="n">
        <v>25</v>
      </c>
      <c r="B26" s="57" t="inlineStr">
        <is>
          <t>Ola 0 - Fundaciones</t>
        </is>
      </c>
      <c r="C26" s="57" t="inlineStr">
        <is>
          <t>F4</t>
        </is>
      </c>
      <c r="D26" s="57" t="inlineStr">
        <is>
          <t>Core tecnico</t>
        </is>
      </c>
      <c r="E26" s="58" t="inlineStr">
        <is>
          <t>4.2</t>
        </is>
      </c>
      <c r="F26" s="59" t="inlineStr">
        <is>
          <t>RBAC: roles, permisos, politicas de recurso, pruebas de autorizacion negativas</t>
        </is>
      </c>
      <c r="G26" s="60" t="inlineStr">
        <is>
          <t>Terminado</t>
        </is>
      </c>
      <c r="H26" s="61">
        <f>IFERROR(INDEX(Config!$B$3:$B$8,MATCH($G26,Config!$A$3:$A$8,0)),0)</f>
        <v/>
      </c>
      <c r="I26" s="60">
        <f>IFERROR(INDEX(Config!$C$3:$C$8,MATCH($G26,Config!$A$3:$A$8,0)),0)</f>
        <v/>
      </c>
      <c r="J26" s="59" t="inlineStr">
        <is>
          <t>docs/fase-3/3.1. 127 permisos usados, todos existentes (puerta de nombres entre capas)</t>
        </is>
      </c>
    </row>
    <row r="27" ht="23.25" customHeight="1" s="36">
      <c r="A27" s="57" t="n">
        <v>26</v>
      </c>
      <c r="B27" s="57" t="inlineStr">
        <is>
          <t>Ola 0 - Fundaciones</t>
        </is>
      </c>
      <c r="C27" s="57" t="inlineStr">
        <is>
          <t>F4</t>
        </is>
      </c>
      <c r="D27" s="57" t="inlineStr">
        <is>
          <t>Core tecnico</t>
        </is>
      </c>
      <c r="E27" s="58" t="inlineStr">
        <is>
          <t>4.3</t>
        </is>
      </c>
      <c r="F27" s="59" t="inlineStr">
        <is>
          <t>Ambito de acceso externo: client_organization_id y creator_id por politica de recurso</t>
        </is>
      </c>
      <c r="G27" s="60" t="inlineStr">
        <is>
          <t>Pendiente</t>
        </is>
      </c>
      <c r="H27" s="61">
        <f>IFERROR(INDEX(Config!$B$3:$B$8,MATCH($G27,Config!$A$3:$A$8,0)),0)</f>
        <v/>
      </c>
      <c r="I27" s="60">
        <f>IFERROR(INDEX(Config!$C$3:$C$8,MATCH($G27,Config!$A$3:$A$8,0)),0)</f>
        <v/>
      </c>
      <c r="J27" s="59" t="inlineStr">
        <is>
          <t>No hay portales externos todavia. Llega con F6 y F13</t>
        </is>
      </c>
    </row>
    <row r="28" ht="15" customHeight="1" s="36">
      <c r="A28" s="57" t="n">
        <v>27</v>
      </c>
      <c r="B28" s="57" t="inlineStr">
        <is>
          <t>Ola 0 - Fundaciones</t>
        </is>
      </c>
      <c r="C28" s="57" t="inlineStr">
        <is>
          <t>F4</t>
        </is>
      </c>
      <c r="D28" s="57" t="inlineStr">
        <is>
          <t>Core tecnico</t>
        </is>
      </c>
      <c r="E28" s="58" t="inlineStr">
        <is>
          <t>4.3b</t>
        </is>
      </c>
      <c r="F28" s="59" t="inlineStr">
        <is>
          <t>MFA/TOTP obligatorio para roles con permisos financieros (BR-SEC-005)</t>
        </is>
      </c>
      <c r="G28" s="60" t="inlineStr">
        <is>
          <t>Pendiente</t>
        </is>
      </c>
      <c r="H28" s="61">
        <f>IFERROR(INDEX(Config!$B$3:$B$8,MATCH($G28,Config!$A$3:$A$8,0)),0)</f>
        <v/>
      </c>
      <c r="I28" s="60">
        <f>IFERROR(INDEX(Config!$C$3:$C$8,MATCH($G28,Config!$A$3:$A$8,0)),0)</f>
        <v/>
      </c>
      <c r="J28" s="59" t="inlineStr">
        <is>
          <t>Barato ahora, caro de retrofitear. Deberia entrar antes de F9</t>
        </is>
      </c>
    </row>
    <row r="29" ht="23.25" customHeight="1" s="36">
      <c r="A29" s="57" t="n">
        <v>28</v>
      </c>
      <c r="B29" s="57" t="inlineStr">
        <is>
          <t>Ola 0 - Fundaciones</t>
        </is>
      </c>
      <c r="C29" s="57" t="inlineStr">
        <is>
          <t>F4</t>
        </is>
      </c>
      <c r="D29" s="57" t="inlineStr">
        <is>
          <t>Core tecnico</t>
        </is>
      </c>
      <c r="E29" s="58" t="inlineStr">
        <is>
          <t>4.4</t>
        </is>
      </c>
      <c r="F29" s="59" t="inlineStr">
        <is>
          <t>Auditoria append-only + activity log, con request_id</t>
        </is>
      </c>
      <c r="G29" s="60" t="inlineStr">
        <is>
          <t>Terminado</t>
        </is>
      </c>
      <c r="H29" s="61">
        <f>IFERROR(INDEX(Config!$B$3:$B$8,MATCH($G29,Config!$A$3:$A$8,0)),0)</f>
        <v/>
      </c>
      <c r="I29" s="60">
        <f>IFERROR(INDEX(Config!$C$3:$C$8,MATCH($G29,Config!$A$3:$A$8,0)),0)</f>
        <v/>
      </c>
      <c r="J29" s="59" t="inlineStr">
        <is>
          <t>docs/fase-3/3.2 y 3.3. Protegida por dos usuarios de base de datos (DEC-085): falta ejecutar los GRANT en produccion</t>
        </is>
      </c>
    </row>
    <row r="30" ht="23.25" customHeight="1" s="36">
      <c r="A30" s="57" t="n">
        <v>29</v>
      </c>
      <c r="B30" s="57" t="inlineStr">
        <is>
          <t>Ola 0 - Fundaciones</t>
        </is>
      </c>
      <c r="C30" s="57" t="inlineStr">
        <is>
          <t>F4</t>
        </is>
      </c>
      <c r="D30" s="57" t="inlineStr">
        <is>
          <t>Core tecnico</t>
        </is>
      </c>
      <c r="E30" s="58" t="inlineStr">
        <is>
          <t>4.5</t>
        </is>
      </c>
      <c r="F30" s="59" t="inlineStr">
        <is>
          <t>Catalogos maestros + seeders (paises, monedas, idiomas, redes, tipos de documento)</t>
        </is>
      </c>
      <c r="G30" s="60" t="inlineStr">
        <is>
          <t>Terminado</t>
        </is>
      </c>
      <c r="H30" s="61">
        <f>IFERROR(INDEX(Config!$B$3:$B$8,MATCH($G30,Config!$A$3:$A$8,0)),0)</f>
        <v/>
      </c>
      <c r="I30" s="60">
        <f>IFERROR(INDEX(Config!$C$3:$C$8,MATCH($G30,Config!$A$3:$A$8,0)),0)</f>
        <v/>
      </c>
      <c r="J30" s="59" t="inlineStr">
        <is>
          <t>CimientosSeeder + pantalla de catalogos</t>
        </is>
      </c>
    </row>
    <row r="31" ht="23.25" customHeight="1" s="36">
      <c r="A31" s="57" t="n">
        <v>30</v>
      </c>
      <c r="B31" s="57" t="inlineStr">
        <is>
          <t>Ola 0 - Fundaciones</t>
        </is>
      </c>
      <c r="C31" s="57" t="inlineStr">
        <is>
          <t>F4</t>
        </is>
      </c>
      <c r="D31" s="57" t="inlineStr">
        <is>
          <t>Core tecnico</t>
        </is>
      </c>
      <c r="E31" s="58" t="inlineStr">
        <is>
          <t>4.5b</t>
        </is>
      </c>
      <c r="F31" s="59" t="inlineStr">
        <is>
          <t>Marcas de plataforma y entidades legales: CRUD, cobertura con vigencia, monedas, cuentas, contactos, activacion</t>
        </is>
      </c>
      <c r="G31" s="60" t="inlineStr">
        <is>
          <t>Terminado</t>
        </is>
      </c>
      <c r="H31" s="61">
        <f>IFERROR(INDEX(Config!$B$3:$B$8,MATCH($G31,Config!$A$3:$A$8,0)),0)</f>
        <v/>
      </c>
      <c r="I31" s="60">
        <f>IFERROR(INDEX(Config!$C$3:$C$8,MATCH($G31,Config!$A$3:$A$8,0)),0)</f>
        <v/>
      </c>
      <c r="J31" s="59" t="inlineStr">
        <is>
          <t>docs/fase-4/4.5. Cobertura sin solapes garantizada por el compilador de periodos</t>
        </is>
      </c>
    </row>
    <row r="32" ht="23.25" customHeight="1" s="36">
      <c r="A32" s="57" t="n">
        <v>31</v>
      </c>
      <c r="B32" s="57" t="inlineStr">
        <is>
          <t>Ola 0 - Fundaciones</t>
        </is>
      </c>
      <c r="C32" s="57" t="inlineStr">
        <is>
          <t>F4</t>
        </is>
      </c>
      <c r="D32" s="57" t="inlineStr">
        <is>
          <t>Core tecnico</t>
        </is>
      </c>
      <c r="E32" s="58" t="inlineStr">
        <is>
          <t>4.6</t>
        </is>
      </c>
      <c r="F32" s="59" t="inlineStr">
        <is>
          <t>Settings jerarquico en cascada (plataforma -&gt; marca -&gt; entidad -&gt; entidad x pais) + herencia</t>
        </is>
      </c>
      <c r="G32" s="60" t="inlineStr">
        <is>
          <t>Pendiente</t>
        </is>
      </c>
      <c r="H32" s="61">
        <f>IFERROR(INDEX(Config!$B$3:$B$8,MATCH($G32,Config!$A$3:$A$8,0)),0)</f>
        <v/>
      </c>
      <c r="I32" s="60">
        <f>IFERROR(INDEX(Config!$C$3:$C$8,MATCH($G32,Config!$A$3:$A$8,0)),0)</f>
        <v/>
      </c>
      <c r="J32" s="59" t="inlineStr">
        <is>
          <t>Sin tabla settings</t>
        </is>
      </c>
    </row>
    <row r="33" ht="15" customHeight="1" s="36">
      <c r="A33" s="57" t="n">
        <v>32</v>
      </c>
      <c r="B33" s="57" t="inlineStr">
        <is>
          <t>Ola 0 - Fundaciones</t>
        </is>
      </c>
      <c r="C33" s="57" t="inlineStr">
        <is>
          <t>F4</t>
        </is>
      </c>
      <c r="D33" s="57" t="inlineStr">
        <is>
          <t>Core tecnico</t>
        </is>
      </c>
      <c r="E33" s="58" t="inlineStr">
        <is>
          <t>4.6b</t>
        </is>
      </c>
      <c r="F33" s="59" t="inlineStr">
        <is>
          <t>Registro de integraciones + resolver + boveda de credenciales</t>
        </is>
      </c>
      <c r="G33" s="60" t="inlineStr">
        <is>
          <t>Pendiente</t>
        </is>
      </c>
      <c r="H33" s="61">
        <f>IFERROR(INDEX(Config!$B$3:$B$8,MATCH($G33,Config!$A$3:$A$8,0)),0)</f>
        <v/>
      </c>
      <c r="I33" s="60">
        <f>IFERROR(INDEX(Config!$C$3:$C$8,MATCH($G33,Config!$A$3:$A$8,0)),0)</f>
        <v/>
      </c>
      <c r="J33" s="59" t="inlineStr">
        <is>
          <t>Bloqueado por 2.7. Es prerrequisito de F12 entera</t>
        </is>
      </c>
    </row>
    <row r="34" ht="23.25" customHeight="1" s="36">
      <c r="A34" s="57" t="n">
        <v>33</v>
      </c>
      <c r="B34" s="57" t="inlineStr">
        <is>
          <t>Ola 0 - Fundaciones</t>
        </is>
      </c>
      <c r="C34" s="57" t="inlineStr">
        <is>
          <t>F4</t>
        </is>
      </c>
      <c r="D34" s="57" t="inlineStr">
        <is>
          <t>Core tecnico</t>
        </is>
      </c>
      <c r="E34" s="58" t="inlineStr">
        <is>
          <t>4.7</t>
        </is>
      </c>
      <c r="F34" s="59" t="inlineStr">
        <is>
          <t>File Manager sobre S3 + validacion por contenido + URLs firmadas</t>
        </is>
      </c>
      <c r="G34" s="60" t="inlineStr">
        <is>
          <t>En curso</t>
        </is>
      </c>
      <c r="H34" s="61">
        <f>IFERROR(INDEX(Config!$B$3:$B$8,MATCH($G34,Config!$A$3:$A$8,0)),0)</f>
        <v/>
      </c>
      <c r="I34" s="60">
        <f>IFERROR(INDEX(Config!$C$3:$C$8,MATCH($G34,Config!$A$3:$A$8,0)),0)</f>
        <v/>
      </c>
      <c r="J34" s="59" t="inlineStr">
        <is>
          <t>Tabla files y subida local funcionando (identidad del creador). Falta S3 y URLs firmadas: depende de la cuenta de storage</t>
        </is>
      </c>
    </row>
    <row r="35" ht="23.25" customHeight="1" s="36">
      <c r="A35" s="57" t="n">
        <v>34</v>
      </c>
      <c r="B35" s="57" t="inlineStr">
        <is>
          <t>Ola 0 - Fundaciones</t>
        </is>
      </c>
      <c r="C35" s="57" t="inlineStr">
        <is>
          <t>F4</t>
        </is>
      </c>
      <c r="D35" s="57" t="inlineStr">
        <is>
          <t>Core tecnico</t>
        </is>
      </c>
      <c r="E35" s="58" t="inlineStr">
        <is>
          <t>4.8</t>
        </is>
      </c>
      <c r="F35" s="59" t="inlineStr">
        <is>
          <t>Colas, scheduler, workers, Horizon</t>
        </is>
      </c>
      <c r="G35" s="60" t="inlineStr">
        <is>
          <t>En curso</t>
        </is>
      </c>
      <c r="H35" s="61">
        <f>IFERROR(INDEX(Config!$B$3:$B$8,MATCH($G35,Config!$A$3:$A$8,0)),0)</f>
        <v/>
      </c>
      <c r="I35" s="60">
        <f>IFERROR(INDEX(Config!$C$3:$C$8,MATCH($G35,Config!$A$3:$A$8,0)),0)</f>
        <v/>
      </c>
      <c r="J35" s="59" t="inlineStr">
        <is>
          <t>F4.9 estreno la cola: EnviarCorreo es el primer job propio, con QUEUE_CONNECTION=database. Faltan scheduler, supervisor y panel</t>
        </is>
      </c>
    </row>
    <row r="36" ht="23.25" customHeight="1" s="36">
      <c r="A36" s="57" t="n">
        <v>35</v>
      </c>
      <c r="B36" s="57" t="inlineStr">
        <is>
          <t>Ola 0 - Fundaciones</t>
        </is>
      </c>
      <c r="C36" s="57" t="inlineStr">
        <is>
          <t>F4</t>
        </is>
      </c>
      <c r="D36" s="57" t="inlineStr">
        <is>
          <t>Core tecnico</t>
        </is>
      </c>
      <c r="E36" s="58" t="inlineStr">
        <is>
          <t>4.9</t>
        </is>
      </c>
      <c r="F36" s="59" t="inlineStr">
        <is>
          <t>Email: plantillas en BD con idioma/version/variables + Email Log + reintentos</t>
        </is>
      </c>
      <c r="G36" s="60" t="inlineStr">
        <is>
          <t>Terminado</t>
        </is>
      </c>
      <c r="H36" s="61">
        <f>IFERROR(INDEX(Config!$B$3:$B$8,MATCH($G36,Config!$A$3:$A$8,0)),0)</f>
        <v/>
      </c>
      <c r="I36" s="60">
        <f>IFERROR(INDEX(Config!$C$3:$C$8,MATCH($G36,Config!$A$3:$A$8,0)),0)</f>
        <v/>
      </c>
      <c r="J36" s="59" t="inlineStr">
        <is>
          <t>docs/fase-4/4.12-CORREO.md. DEC-106 a DEC-108. Adelantada porque bloqueaba 7.6, 5.9, 4.1 y T-10. Falta la cuenta de SMTP (Q-20)</t>
        </is>
      </c>
    </row>
    <row r="37" ht="23.25" customHeight="1" s="36">
      <c r="A37" s="57" t="n">
        <v>36</v>
      </c>
      <c r="B37" s="57" t="inlineStr">
        <is>
          <t>Ola 0 - Fundaciones</t>
        </is>
      </c>
      <c r="C37" s="57" t="inlineStr">
        <is>
          <t>F4</t>
        </is>
      </c>
      <c r="D37" s="57" t="inlineStr">
        <is>
          <t>Core tecnico</t>
        </is>
      </c>
      <c r="E37" s="58" t="inlineStr">
        <is>
          <t>4.10</t>
        </is>
      </c>
      <c r="F37" s="59" t="inlineStr">
        <is>
          <t>Notification Center in-app + preferencias</t>
        </is>
      </c>
      <c r="G37" s="60" t="inlineStr">
        <is>
          <t>Pendiente</t>
        </is>
      </c>
      <c r="H37" s="61">
        <f>IFERROR(INDEX(Config!$B$3:$B$8,MATCH($G37,Config!$A$3:$A$8,0)),0)</f>
        <v/>
      </c>
      <c r="I37" s="60">
        <f>IFERROR(INDEX(Config!$C$3:$C$8,MATCH($G37,Config!$A$3:$A$8,0)),0)</f>
        <v/>
      </c>
      <c r="J37" s="59" t="inlineStr">
        <is>
          <t>4.13 dejo el bus de eventos de dominio (App/Shared/Eventos + domain_events): el centro de notificaciones es otro oyente sobre el mismo bus</t>
        </is>
      </c>
    </row>
    <row r="38" ht="23.25" customHeight="1" s="36">
      <c r="A38" s="57" t="n">
        <v>37</v>
      </c>
      <c r="B38" s="57" t="inlineStr">
        <is>
          <t>Ola 0 - Fundaciones</t>
        </is>
      </c>
      <c r="C38" s="57" t="inlineStr">
        <is>
          <t>F4</t>
        </is>
      </c>
      <c r="D38" s="57" t="inlineStr">
        <is>
          <t>Core tecnico</t>
        </is>
      </c>
      <c r="E38" s="58" t="inlineStr">
        <is>
          <t>4.11</t>
        </is>
      </c>
      <c r="F38" s="59" t="inlineStr">
        <is>
          <t>Manejo de errores, logging estructurado, paginas de error, health check</t>
        </is>
      </c>
      <c r="G38" s="60" t="inlineStr">
        <is>
          <t>En curso</t>
        </is>
      </c>
      <c r="H38" s="61">
        <f>IFERROR(INDEX(Config!$B$3:$B$8,MATCH($G38,Config!$A$3:$A$8,0)),0)</f>
        <v/>
      </c>
      <c r="I38" s="60">
        <f>IFERROR(INDEX(Config!$C$3:$C$8,MATCH($G38,Config!$A$3:$A$8,0)),0)</f>
        <v/>
      </c>
      <c r="J38" s="59" t="inlineStr">
        <is>
          <t>Los 403/404/409 dicen el motivo con palabras en todo el sistema. Falta logging estructurado y health check</t>
        </is>
      </c>
    </row>
    <row r="39" ht="23.25" customHeight="1" s="36">
      <c r="A39" s="57" t="n">
        <v>38</v>
      </c>
      <c r="B39" s="57" t="inlineStr">
        <is>
          <t>Ola 0 - Fundaciones</t>
        </is>
      </c>
      <c r="C39" s="57" t="inlineStr">
        <is>
          <t>F4</t>
        </is>
      </c>
      <c r="D39" s="57" t="inlineStr">
        <is>
          <t>Core tecnico</t>
        </is>
      </c>
      <c r="E39" s="58" t="inlineStr">
        <is>
          <t>4.12</t>
        </is>
      </c>
      <c r="F39" s="59" t="inlineStr">
        <is>
          <t>Layout de admin, navegacion, busqueda basica, tabla estandar con filtros/orden/paginacion</t>
        </is>
      </c>
      <c r="G39" s="60" t="inlineStr">
        <is>
          <t>Terminado</t>
        </is>
      </c>
      <c r="H39" s="61">
        <f>IFERROR(INDEX(Config!$B$3:$B$8,MATCH($G39,Config!$A$3:$A$8,0)),0)</f>
        <v/>
      </c>
      <c r="I39" s="60">
        <f>IFERROR(INDEX(Config!$C$3:$C$8,MATCH($G39,Config!$A$3:$A$8,0)),0)</f>
        <v/>
      </c>
      <c r="J39" s="59" t="inlineStr">
        <is>
          <t>layouts/panel + 21 plantillas. La busqueda global no existe; los listados filtran</t>
        </is>
      </c>
    </row>
    <row r="40" ht="15" customHeight="1" s="36">
      <c r="A40" s="57" t="n">
        <v>39</v>
      </c>
      <c r="B40" s="57" t="inlineStr">
        <is>
          <t>Ola 0 - Fundaciones</t>
        </is>
      </c>
      <c r="C40" s="57" t="inlineStr">
        <is>
          <t>F4</t>
        </is>
      </c>
      <c r="D40" s="57" t="inlineStr">
        <is>
          <t>Core tecnico</t>
        </is>
      </c>
      <c r="E40" s="58" t="inlineStr">
        <is>
          <t>4.13</t>
        </is>
      </c>
      <c r="F40" s="59" t="inlineStr">
        <is>
          <t>QA de fase + Phase Review Report</t>
        </is>
      </c>
      <c r="G40" s="60" t="inlineStr">
        <is>
          <t>Pendiente</t>
        </is>
      </c>
      <c r="H40" s="61">
        <f>IFERROR(INDEX(Config!$B$3:$B$8,MATCH($G40,Config!$A$3:$A$8,0)),0)</f>
        <v/>
      </c>
      <c r="I40" s="60">
        <f>IFERROR(INDEX(Config!$C$3:$C$8,MATCH($G40,Config!$A$3:$A$8,0)),0)</f>
        <v/>
      </c>
      <c r="J40" s="59" t="n"/>
    </row>
    <row r="41" ht="15" customHeight="1" s="36">
      <c r="A41" s="57" t="n">
        <v>40</v>
      </c>
      <c r="B41" s="57" t="inlineStr">
        <is>
          <t>Ola 1 - MVP: operar sin Excel</t>
        </is>
      </c>
      <c r="C41" s="57" t="inlineStr">
        <is>
          <t>F5</t>
        </is>
      </c>
      <c r="D41" s="57" t="inlineStr">
        <is>
          <t>Adquisicion de creadores</t>
        </is>
      </c>
      <c r="E41" s="58" t="inlineStr">
        <is>
          <t>5.1</t>
        </is>
      </c>
      <c r="F41" s="59" t="inlineStr">
        <is>
          <t>Landing de creadores (responsive, SEO, consentimientos)</t>
        </is>
      </c>
      <c r="G41" s="60" t="inlineStr">
        <is>
          <t>Pendiente</t>
        </is>
      </c>
      <c r="H41" s="61">
        <f>IFERROR(INDEX(Config!$B$3:$B$8,MATCH($G41,Config!$A$3:$A$8,0)),0)</f>
        <v/>
      </c>
      <c r="I41" s="60">
        <f>IFERROR(INDEX(Config!$C$3:$C$8,MATCH($G41,Config!$A$3:$A$8,0)),0)</f>
        <v/>
      </c>
      <c r="J41" s="59" t="inlineStr">
        <is>
          <t>No hay ninguna ruta publica</t>
        </is>
      </c>
    </row>
    <row r="42" ht="15" customHeight="1" s="36">
      <c r="A42" s="57" t="n">
        <v>41</v>
      </c>
      <c r="B42" s="57" t="inlineStr">
        <is>
          <t>Ola 1 - MVP: operar sin Excel</t>
        </is>
      </c>
      <c r="C42" s="57" t="inlineStr">
        <is>
          <t>F5</t>
        </is>
      </c>
      <c r="D42" s="57" t="inlineStr">
        <is>
          <t>Adquisicion de creadores</t>
        </is>
      </c>
      <c r="E42" s="58" t="inlineStr">
        <is>
          <t>5.2</t>
        </is>
      </c>
      <c r="F42" s="59" t="inlineStr">
        <is>
          <t>Formulario de aplicacion multi-paso con guardado parcial</t>
        </is>
      </c>
      <c r="G42" s="60" t="inlineStr">
        <is>
          <t>Pendiente</t>
        </is>
      </c>
      <c r="H42" s="61">
        <f>IFERROR(INDEX(Config!$B$3:$B$8,MATCH($G42,Config!$A$3:$A$8,0)),0)</f>
        <v/>
      </c>
      <c r="I42" s="60">
        <f>IFERROR(INDEX(Config!$C$3:$C$8,MATCH($G42,Config!$A$3:$A$8,0)),0)</f>
        <v/>
      </c>
      <c r="J42" s="59" t="inlineStr">
        <is>
          <t>La tabla creator_applications existe; el formulario publico no</t>
        </is>
      </c>
    </row>
    <row r="43" ht="15" customHeight="1" s="36">
      <c r="A43" s="57" t="n">
        <v>42</v>
      </c>
      <c r="B43" s="57" t="inlineStr">
        <is>
          <t>Ola 1 - MVP: operar sin Excel</t>
        </is>
      </c>
      <c r="C43" s="57" t="inlineStr">
        <is>
          <t>F5</t>
        </is>
      </c>
      <c r="D43" s="57" t="inlineStr">
        <is>
          <t>Adquisicion de creadores</t>
        </is>
      </c>
      <c r="E43" s="58" t="inlineStr">
        <is>
          <t>5.3</t>
        </is>
      </c>
      <c r="F43" s="59" t="inlineStr">
        <is>
          <t>Cuentas sociales declaradas + metricas + evidencias</t>
        </is>
      </c>
      <c r="G43" s="60" t="inlineStr">
        <is>
          <t>Terminado</t>
        </is>
      </c>
      <c r="H43" s="61">
        <f>IFERROR(INDEX(Config!$B$3:$B$8,MATCH($G43,Config!$A$3:$A$8,0)),0)</f>
        <v/>
      </c>
      <c r="I43" s="60">
        <f>IFERROR(INDEX(Config!$C$3:$C$8,MATCH($G43,Config!$A$3:$A$8,0)),0)</f>
        <v/>
      </c>
      <c r="J43" s="59" t="inlineStr">
        <is>
          <t>docs/fase-3/3.7. Con verificacion y snapshots de metricas</t>
        </is>
      </c>
    </row>
    <row r="44" ht="15" customHeight="1" s="36">
      <c r="A44" s="57" t="n">
        <v>43</v>
      </c>
      <c r="B44" s="57" t="inlineStr">
        <is>
          <t>Ola 1 - MVP: operar sin Excel</t>
        </is>
      </c>
      <c r="C44" s="57" t="inlineStr">
        <is>
          <t>F5</t>
        </is>
      </c>
      <c r="D44" s="57" t="inlineStr">
        <is>
          <t>Adquisicion de creadores</t>
        </is>
      </c>
      <c r="E44" s="58" t="inlineStr">
        <is>
          <t>5.4</t>
        </is>
      </c>
      <c r="F44" s="59" t="inlineStr">
        <is>
          <t>Subida de archivos y capturas de insights</t>
        </is>
      </c>
      <c r="G44" s="60" t="inlineStr">
        <is>
          <t>En curso</t>
        </is>
      </c>
      <c r="H44" s="61">
        <f>IFERROR(INDEX(Config!$B$3:$B$8,MATCH($G44,Config!$A$3:$A$8,0)),0)</f>
        <v/>
      </c>
      <c r="I44" s="60">
        <f>IFERROR(INDEX(Config!$C$3:$C$8,MATCH($G44,Config!$A$3:$A$8,0)),0)</f>
        <v/>
      </c>
      <c r="J44" s="59" t="inlineStr">
        <is>
          <t>La subida existe para identidad; falta el flujo de insights de redes</t>
        </is>
      </c>
    </row>
    <row r="45" ht="23.25" customHeight="1" s="36">
      <c r="A45" s="57" t="n">
        <v>44</v>
      </c>
      <c r="B45" s="57" t="inlineStr">
        <is>
          <t>Ola 1 - MVP: operar sin Excel</t>
        </is>
      </c>
      <c r="C45" s="57" t="inlineStr">
        <is>
          <t>F5</t>
        </is>
      </c>
      <c r="D45" s="57" t="inlineStr">
        <is>
          <t>Adquisicion de creadores</t>
        </is>
      </c>
      <c r="E45" s="58" t="inlineStr">
        <is>
          <t>5.5</t>
        </is>
      </c>
      <c r="F45" s="59" t="inlineStr">
        <is>
          <t>Deteccion de duplicados y validaciones anti-basura (honeypot, rate limit, verificacion de email)</t>
        </is>
      </c>
      <c r="G45" s="60" t="inlineStr">
        <is>
          <t>En curso</t>
        </is>
      </c>
      <c r="H45" s="61">
        <f>IFERROR(INDEX(Config!$B$3:$B$8,MATCH($G45,Config!$A$3:$A$8,0)),0)</f>
        <v/>
      </c>
      <c r="I45" s="60">
        <f>IFERROR(INDEX(Config!$C$3:$C$8,MATCH($G45,Config!$A$3:$A$8,0)),0)</f>
        <v/>
      </c>
      <c r="J45" s="59" t="inlineStr">
        <is>
          <t>Duplicados: huellas de cuenta de pago con convergencia (4.10). Anti-basura publico: no, porque no hay formulario publico</t>
        </is>
      </c>
    </row>
    <row r="46" ht="23.25" customHeight="1" s="36">
      <c r="A46" s="57" t="n">
        <v>45</v>
      </c>
      <c r="B46" s="57" t="inlineStr">
        <is>
          <t>Ola 1 - MVP: operar sin Excel</t>
        </is>
      </c>
      <c r="C46" s="57" t="inlineStr">
        <is>
          <t>F5</t>
        </is>
      </c>
      <c r="D46" s="57" t="inlineStr">
        <is>
          <t>Adquisicion de creadores</t>
        </is>
      </c>
      <c r="E46" s="58" t="inlineStr">
        <is>
          <t>5.6</t>
        </is>
      </c>
      <c r="F46" s="59" t="inlineStr">
        <is>
          <t>Importacion masiva CSV/Excel con mapeo, previsualizacion, validacion, resumen y reversion</t>
        </is>
      </c>
      <c r="G46" s="60" t="inlineStr">
        <is>
          <t>En curso</t>
        </is>
      </c>
      <c r="H46" s="61">
        <f>IFERROR(INDEX(Config!$B$3:$B$8,MATCH($G46,Config!$A$3:$A$8,0)),0)</f>
        <v/>
      </c>
      <c r="I46" s="60">
        <f>IFERROR(INDEX(Config!$C$3:$C$8,MATCH($G46,Config!$A$3:$A$8,0)),0)</f>
        <v/>
      </c>
      <c r="J46" s="59" t="inlineStr">
        <is>
          <t>Plantilla CSV y guia escritas (tools/). El importador no esta construido</t>
        </is>
      </c>
    </row>
    <row r="47" ht="15" customHeight="1" s="36">
      <c r="A47" s="57" t="n">
        <v>46</v>
      </c>
      <c r="B47" s="57" t="inlineStr">
        <is>
          <t>Ola 1 - MVP: operar sin Excel</t>
        </is>
      </c>
      <c r="C47" s="57" t="inlineStr">
        <is>
          <t>F5</t>
        </is>
      </c>
      <c r="D47" s="57" t="inlineStr">
        <is>
          <t>Adquisicion de creadores</t>
        </is>
      </c>
      <c r="E47" s="58" t="inlineStr">
        <is>
          <t>5.7</t>
        </is>
      </c>
      <c r="F47" s="59" t="inlineStr">
        <is>
          <t>Bandeja de revision + ficha 360 + notas internas</t>
        </is>
      </c>
      <c r="G47" s="60" t="inlineStr">
        <is>
          <t>Terminado</t>
        </is>
      </c>
      <c r="H47" s="61">
        <f>IFERROR(INDEX(Config!$B$3:$B$8,MATCH($G47,Config!$A$3:$A$8,0)),0)</f>
        <v/>
      </c>
      <c r="I47" s="60">
        <f>IFERROR(INDEX(Config!$C$3:$C$8,MATCH($G47,Config!$A$3:$A$8,0)),0)</f>
        <v/>
      </c>
      <c r="J47" s="59" t="inlineStr">
        <is>
          <t>docs/fase-3/3.4. Rutas solicitudes.* y creadores.show</t>
        </is>
      </c>
    </row>
    <row r="48" ht="23.25" customHeight="1" s="36">
      <c r="A48" s="57" t="n">
        <v>47</v>
      </c>
      <c r="B48" s="57" t="inlineStr">
        <is>
          <t>Ola 1 - MVP: operar sin Excel</t>
        </is>
      </c>
      <c r="C48" s="57" t="inlineStr">
        <is>
          <t>F5</t>
        </is>
      </c>
      <c r="D48" s="57" t="inlineStr">
        <is>
          <t>Adquisicion de creadores</t>
        </is>
      </c>
      <c r="E48" s="58" t="inlineStr">
        <is>
          <t>5.8</t>
        </is>
      </c>
      <c r="F48" s="59" t="inlineStr">
        <is>
          <t>Maquina de estados + aprobar/rechazar/solicitar informacion con motivos tipificados</t>
        </is>
      </c>
      <c r="G48" s="60" t="inlineStr">
        <is>
          <t>Terminado</t>
        </is>
      </c>
      <c r="H48" s="61">
        <f>IFERROR(INDEX(Config!$B$3:$B$8,MATCH($G48,Config!$A$3:$A$8,0)),0)</f>
        <v/>
      </c>
      <c r="I48" s="60">
        <f>IFERROR(INDEX(Config!$C$3:$C$8,MATCH($G48,Config!$A$3:$A$8,0)),0)</f>
        <v/>
      </c>
      <c r="J48" s="59" t="inlineStr">
        <is>
          <t>docs/fase-3/3.4 y 3.5. Activacion con seis requisitos</t>
        </is>
      </c>
    </row>
    <row r="49" ht="23.25" customHeight="1" s="36">
      <c r="A49" s="57" t="n">
        <v>48</v>
      </c>
      <c r="B49" s="57" t="inlineStr">
        <is>
          <t>Ola 1 - MVP: operar sin Excel</t>
        </is>
      </c>
      <c r="C49" s="57" t="inlineStr">
        <is>
          <t>F5</t>
        </is>
      </c>
      <c r="D49" s="57" t="inlineStr">
        <is>
          <t>Adquisicion de creadores</t>
        </is>
      </c>
      <c r="E49" s="58" t="inlineStr">
        <is>
          <t>5.9</t>
        </is>
      </c>
      <c r="F49" s="59" t="inlineStr">
        <is>
          <t>Aprobacion -&gt; creacion de usuario + enlace seguro de contrasena + emails</t>
        </is>
      </c>
      <c r="G49" s="60" t="inlineStr">
        <is>
          <t>Terminado</t>
        </is>
      </c>
      <c r="H49" s="61">
        <f>IFERROR(INDEX(Config!$B$3:$B$8,MATCH($G49,Config!$A$3:$A$8,0)),0)</f>
        <v/>
      </c>
      <c r="I49" s="60">
        <f>IFERROR(INDEX(Config!$C$3:$C$8,MATCH($G49,Config!$A$3:$A$8,0)),0)</f>
        <v/>
      </c>
      <c r="J49" s="59" t="inlineStr">
        <is>
          <t>docs/fase-5/5.9-ENLACE-DE-CONTRASENA.md. Crea la cuenta, escribe creators.user_id y manda el enlace de 72 h. La cuenta nace con una contrasena que no conoce nadie</t>
        </is>
      </c>
    </row>
    <row r="50" ht="15" customHeight="1" s="36">
      <c r="A50" s="57" t="n">
        <v>49</v>
      </c>
      <c r="B50" s="57" t="inlineStr">
        <is>
          <t>Ola 1 - MVP: operar sin Excel</t>
        </is>
      </c>
      <c r="C50" s="57" t="inlineStr">
        <is>
          <t>F5</t>
        </is>
      </c>
      <c r="D50" s="57" t="inlineStr">
        <is>
          <t>Adquisicion de creadores</t>
        </is>
      </c>
      <c r="E50" s="58" t="inlineStr">
        <is>
          <t>5.10</t>
        </is>
      </c>
      <c r="F50" s="59" t="inlineStr">
        <is>
          <t>Blacklist</t>
        </is>
      </c>
      <c r="G50" s="60" t="inlineStr">
        <is>
          <t>En curso</t>
        </is>
      </c>
      <c r="H50" s="61">
        <f>IFERROR(INDEX(Config!$B$3:$B$8,MATCH($G50,Config!$A$3:$A$8,0)),0)</f>
        <v/>
      </c>
      <c r="I50" s="60">
        <f>IFERROR(INDEX(Config!$C$3:$C$8,MATCH($G50,Config!$A$3:$A$8,0)),0)</f>
        <v/>
      </c>
      <c r="J50" s="59" t="inlineStr">
        <is>
          <t>El estado blacklisted existe en creadores y clientes. Falta la pantalla y el motivo tipificado</t>
        </is>
      </c>
    </row>
    <row r="51" ht="15" customHeight="1" s="36">
      <c r="A51" s="57" t="n">
        <v>50</v>
      </c>
      <c r="B51" s="57" t="inlineStr">
        <is>
          <t>Ola 1 - MVP: operar sin Excel</t>
        </is>
      </c>
      <c r="C51" s="57" t="inlineStr">
        <is>
          <t>F5</t>
        </is>
      </c>
      <c r="D51" s="57" t="inlineStr">
        <is>
          <t>Adquisicion de creadores</t>
        </is>
      </c>
      <c r="E51" s="58" t="inlineStr">
        <is>
          <t>5.11</t>
        </is>
      </c>
      <c r="F51" s="59" t="inlineStr">
        <is>
          <t>QA de fase + Phase Review Report</t>
        </is>
      </c>
      <c r="G51" s="60" t="inlineStr">
        <is>
          <t>Pendiente</t>
        </is>
      </c>
      <c r="H51" s="61">
        <f>IFERROR(INDEX(Config!$B$3:$B$8,MATCH($G51,Config!$A$3:$A$8,0)),0)</f>
        <v/>
      </c>
      <c r="I51" s="60">
        <f>IFERROR(INDEX(Config!$C$3:$C$8,MATCH($G51,Config!$A$3:$A$8,0)),0)</f>
        <v/>
      </c>
      <c r="J51" s="59" t="n"/>
    </row>
    <row r="52" ht="23.25" customHeight="1" s="36">
      <c r="A52" s="57" t="n">
        <v>51</v>
      </c>
      <c r="B52" s="57" t="inlineStr">
        <is>
          <t>Ola 1 - MVP: operar sin Excel</t>
        </is>
      </c>
      <c r="C52" s="57" t="inlineStr">
        <is>
          <t>F6</t>
        </is>
      </c>
      <c r="D52" s="57" t="inlineStr">
        <is>
          <t>Portal del creador</t>
        </is>
      </c>
      <c r="E52" s="58" t="inlineStr">
        <is>
          <t>6.1</t>
        </is>
      </c>
      <c r="F52" s="59" t="inlineStr">
        <is>
          <t>Shell del portal (PWA), navegacion movil, onboarding con barra de completitud</t>
        </is>
      </c>
      <c r="G52" s="60" t="inlineStr">
        <is>
          <t>Pendiente</t>
        </is>
      </c>
      <c r="H52" s="61">
        <f>IFERROR(INDEX(Config!$B$3:$B$8,MATCH($G52,Config!$A$3:$A$8,0)),0)</f>
        <v/>
      </c>
      <c r="I52" s="60">
        <f>IFERROR(INDEX(Config!$C$3:$C$8,MATCH($G52,Config!$A$3:$A$8,0)),0)</f>
        <v/>
      </c>
      <c r="J52" s="59" t="n"/>
    </row>
    <row r="53" ht="15" customHeight="1" s="36">
      <c r="A53" s="57" t="n">
        <v>52</v>
      </c>
      <c r="B53" s="57" t="inlineStr">
        <is>
          <t>Ola 1 - MVP: operar sin Excel</t>
        </is>
      </c>
      <c r="C53" s="57" t="inlineStr">
        <is>
          <t>F6</t>
        </is>
      </c>
      <c r="D53" s="57" t="inlineStr">
        <is>
          <t>Portal del creador</t>
        </is>
      </c>
      <c r="E53" s="58" t="inlineStr">
        <is>
          <t>6.2</t>
        </is>
      </c>
      <c r="F53" s="59" t="inlineStr">
        <is>
          <t>Mi perfil: personal, ubicacion, idiomas, preferencias</t>
        </is>
      </c>
      <c r="G53" s="60" t="inlineStr">
        <is>
          <t>Pendiente</t>
        </is>
      </c>
      <c r="H53" s="61">
        <f>IFERROR(INDEX(Config!$B$3:$B$8,MATCH($G53,Config!$A$3:$A$8,0)),0)</f>
        <v/>
      </c>
      <c r="I53" s="60">
        <f>IFERROR(INDEX(Config!$C$3:$C$8,MATCH($G53,Config!$A$3:$A$8,0)),0)</f>
        <v/>
      </c>
      <c r="J53" s="59" t="inlineStr">
        <is>
          <t>El modelo y la pantalla de ADMIN existen; el portal del creador no</t>
        </is>
      </c>
    </row>
    <row r="54" ht="15" customHeight="1" s="36">
      <c r="A54" s="57" t="n">
        <v>53</v>
      </c>
      <c r="B54" s="57" t="inlineStr">
        <is>
          <t>Ola 1 - MVP: operar sin Excel</t>
        </is>
      </c>
      <c r="C54" s="57" t="inlineStr">
        <is>
          <t>F6</t>
        </is>
      </c>
      <c r="D54" s="57" t="inlineStr">
        <is>
          <t>Portal del creador</t>
        </is>
      </c>
      <c r="E54" s="58" t="inlineStr">
        <is>
          <t>6.3</t>
        </is>
      </c>
      <c r="F54" s="59" t="inlineStr">
        <is>
          <t>Mis redes: alta, edicion, actualizacion de estadisticas, evidencia</t>
        </is>
      </c>
      <c r="G54" s="60" t="inlineStr">
        <is>
          <t>Pendiente</t>
        </is>
      </c>
      <c r="H54" s="61">
        <f>IFERROR(INDEX(Config!$B$3:$B$8,MATCH($G54,Config!$A$3:$A$8,0)),0)</f>
        <v/>
      </c>
      <c r="I54" s="60">
        <f>IFERROR(INDEX(Config!$C$3:$C$8,MATCH($G54,Config!$A$3:$A$8,0)),0)</f>
        <v/>
      </c>
      <c r="J54" s="59" t="inlineStr">
        <is>
          <t>Idem: construido del lado admin en 3.7</t>
        </is>
      </c>
    </row>
    <row r="55" ht="15" customHeight="1" s="36">
      <c r="A55" s="57" t="n">
        <v>54</v>
      </c>
      <c r="B55" s="57" t="inlineStr">
        <is>
          <t>Ola 1 - MVP: operar sin Excel</t>
        </is>
      </c>
      <c r="C55" s="57" t="inlineStr">
        <is>
          <t>F6</t>
        </is>
      </c>
      <c r="D55" s="57" t="inlineStr">
        <is>
          <t>Portal del creador</t>
        </is>
      </c>
      <c r="E55" s="58" t="inlineStr">
        <is>
          <t>6.4</t>
        </is>
      </c>
      <c r="F55" s="59" t="inlineStr">
        <is>
          <t>Perfil profesional: nichos, formatos, restricciones, portfolio</t>
        </is>
      </c>
      <c r="G55" s="60" t="inlineStr">
        <is>
          <t>Pendiente</t>
        </is>
      </c>
      <c r="H55" s="61">
        <f>IFERROR(INDEX(Config!$B$3:$B$8,MATCH($G55,Config!$A$3:$A$8,0)),0)</f>
        <v/>
      </c>
      <c r="I55" s="60">
        <f>IFERROR(INDEX(Config!$C$3:$C$8,MATCH($G55,Config!$A$3:$A$8,0)),0)</f>
        <v/>
      </c>
      <c r="J55" s="59" t="inlineStr">
        <is>
          <t>Idem: construido del lado admin en 3.9</t>
        </is>
      </c>
    </row>
    <row r="56" ht="15" customHeight="1" s="36">
      <c r="A56" s="57" t="n">
        <v>55</v>
      </c>
      <c r="B56" s="57" t="inlineStr">
        <is>
          <t>Ola 1 - MVP: operar sin Excel</t>
        </is>
      </c>
      <c r="C56" s="57" t="inlineStr">
        <is>
          <t>F6</t>
        </is>
      </c>
      <c r="D56" s="57" t="inlineStr">
        <is>
          <t>Portal del creador</t>
        </is>
      </c>
      <c r="E56" s="58" t="inlineStr">
        <is>
          <t>6.5</t>
        </is>
      </c>
      <c r="F56" s="59" t="inlineStr">
        <is>
          <t>Mis tarifas por formato/moneda/vigencia</t>
        </is>
      </c>
      <c r="G56" s="60" t="inlineStr">
        <is>
          <t>Pendiente</t>
        </is>
      </c>
      <c r="H56" s="61">
        <f>IFERROR(INDEX(Config!$B$3:$B$8,MATCH($G56,Config!$A$3:$A$8,0)),0)</f>
        <v/>
      </c>
      <c r="I56" s="60">
        <f>IFERROR(INDEX(Config!$C$3:$C$8,MATCH($G56,Config!$A$3:$A$8,0)),0)</f>
        <v/>
      </c>
      <c r="J56" s="59" t="inlineStr">
        <is>
          <t>Idem: construido del lado admin en 3.9, con periodos sin solape</t>
        </is>
      </c>
    </row>
    <row r="57" ht="23.25" customHeight="1" s="36">
      <c r="A57" s="57" t="n">
        <v>56</v>
      </c>
      <c r="B57" s="57" t="inlineStr">
        <is>
          <t>Ola 1 - MVP: operar sin Excel</t>
        </is>
      </c>
      <c r="C57" s="57" t="inlineStr">
        <is>
          <t>F6</t>
        </is>
      </c>
      <c r="D57" s="57" t="inlineStr">
        <is>
          <t>Portal del creador</t>
        </is>
      </c>
      <c r="E57" s="58" t="inlineStr">
        <is>
          <t>6.6</t>
        </is>
      </c>
      <c r="F57" s="59" t="inlineStr">
        <is>
          <t>Datos fiscales y medios de pago (cifrado, enmascarado, verificacion de cambios)</t>
        </is>
      </c>
      <c r="G57" s="60" t="inlineStr">
        <is>
          <t>Pendiente</t>
        </is>
      </c>
      <c r="H57" s="61">
        <f>IFERROR(INDEX(Config!$B$3:$B$8,MATCH($G57,Config!$A$3:$A$8,0)),0)</f>
        <v/>
      </c>
      <c r="I57" s="60">
        <f>IFERROR(INDEX(Config!$C$3:$C$8,MATCH($G57,Config!$A$3:$A$8,0)),0)</f>
        <v/>
      </c>
      <c r="J57" s="59" t="inlineStr">
        <is>
          <t>Idem: construido del lado admin en 3.6 y 3.8. Bloqueo parcial por DEC-005</t>
        </is>
      </c>
    </row>
    <row r="58" ht="23.25" customHeight="1" s="36">
      <c r="A58" s="57" t="n">
        <v>57</v>
      </c>
      <c r="B58" s="57" t="inlineStr">
        <is>
          <t>Ola 1 - MVP: operar sin Excel</t>
        </is>
      </c>
      <c r="C58" s="57" t="inlineStr">
        <is>
          <t>F6</t>
        </is>
      </c>
      <c r="D58" s="57" t="inlineStr">
        <is>
          <t>Portal del creador</t>
        </is>
      </c>
      <c r="E58" s="58" t="inlineStr">
        <is>
          <t>6.7</t>
        </is>
      </c>
      <c r="F58" s="59" t="inlineStr">
        <is>
          <t>Flujo de aprobacion de cambios sensibles</t>
        </is>
      </c>
      <c r="G58" s="60" t="inlineStr">
        <is>
          <t>En curso</t>
        </is>
      </c>
      <c r="H58" s="61">
        <f>IFERROR(INDEX(Config!$B$3:$B$8,MATCH($G58,Config!$A$3:$A$8,0)),0)</f>
        <v/>
      </c>
      <c r="I58" s="60">
        <f>IFERROR(INDEX(Config!$C$3:$C$8,MATCH($G58,Config!$A$3:$A$8,0)),0)</f>
        <v/>
      </c>
      <c r="J58" s="59" t="inlineStr">
        <is>
          <t>La segregacion de dos personas ya esta en la base (ck_ctp_segregation, ck_cpm_segregation). Falta el flujo del lado del creador</t>
        </is>
      </c>
    </row>
    <row r="59" ht="23.25" customHeight="1" s="36">
      <c r="A59" s="57" t="n">
        <v>58</v>
      </c>
      <c r="B59" s="57" t="inlineStr">
        <is>
          <t>Ola 1 - MVP: operar sin Excel</t>
        </is>
      </c>
      <c r="C59" s="57" t="inlineStr">
        <is>
          <t>F6</t>
        </is>
      </c>
      <c r="D59" s="57" t="inlineStr">
        <is>
          <t>Portal del creador</t>
        </is>
      </c>
      <c r="E59" s="58" t="inlineStr">
        <is>
          <t>6.8</t>
        </is>
      </c>
      <c r="F59" s="59" t="inlineStr">
        <is>
          <t>Dashboard del creador (max. 6 KPIs) + notificaciones + barra de completitud con XP basico</t>
        </is>
      </c>
      <c r="G59" s="60" t="inlineStr">
        <is>
          <t>Pendiente</t>
        </is>
      </c>
      <c r="H59" s="61">
        <f>IFERROR(INDEX(Config!$B$3:$B$8,MATCH($G59,Config!$A$3:$A$8,0)),0)</f>
        <v/>
      </c>
      <c r="I59" s="60">
        <f>IFERROR(INDEX(Config!$C$3:$C$8,MATCH($G59,Config!$A$3:$A$8,0)),0)</f>
        <v/>
      </c>
      <c r="J59" s="59" t="n"/>
    </row>
    <row r="60" ht="15" customHeight="1" s="36">
      <c r="A60" s="57" t="n">
        <v>59</v>
      </c>
      <c r="B60" s="57" t="inlineStr">
        <is>
          <t>Ola 1 - MVP: operar sin Excel</t>
        </is>
      </c>
      <c r="C60" s="57" t="inlineStr">
        <is>
          <t>F6</t>
        </is>
      </c>
      <c r="D60" s="57" t="inlineStr">
        <is>
          <t>Portal del creador</t>
        </is>
      </c>
      <c r="E60" s="58" t="inlineStr">
        <is>
          <t>6.9</t>
        </is>
      </c>
      <c r="F60" s="59" t="inlineStr">
        <is>
          <t>QA de fase + Phase Review Report</t>
        </is>
      </c>
      <c r="G60" s="60" t="inlineStr">
        <is>
          <t>Pendiente</t>
        </is>
      </c>
      <c r="H60" s="61">
        <f>IFERROR(INDEX(Config!$B$3:$B$8,MATCH($G60,Config!$A$3:$A$8,0)),0)</f>
        <v/>
      </c>
      <c r="I60" s="60">
        <f>IFERROR(INDEX(Config!$C$3:$C$8,MATCH($G60,Config!$A$3:$A$8,0)),0)</f>
        <v/>
      </c>
      <c r="J60" s="59" t="n"/>
    </row>
    <row r="61" ht="23.25" customHeight="1" s="36">
      <c r="A61" s="57" t="n">
        <v>60</v>
      </c>
      <c r="B61" s="57" t="inlineStr">
        <is>
          <t>Ola 1 - MVP: operar sin Excel</t>
        </is>
      </c>
      <c r="C61" s="57" t="inlineStr">
        <is>
          <t>F7</t>
        </is>
      </c>
      <c r="D61" s="57" t="inlineStr">
        <is>
          <t>Motor de campana</t>
        </is>
      </c>
      <c r="E61" s="58" t="inlineStr">
        <is>
          <t>7.0</t>
        </is>
      </c>
      <c r="F61" s="59" t="inlineStr">
        <is>
          <t>Clientes y marcas: alta manual, contactos, datos fiscales por pais, entidad legal segun cobertura</t>
        </is>
      </c>
      <c r="G61" s="60" t="inlineStr">
        <is>
          <t>Terminado</t>
        </is>
      </c>
      <c r="H61" s="61">
        <f>IFERROR(INDEX(Config!$B$3:$B$8,MATCH($G61,Config!$A$3:$A$8,0)),0)</f>
        <v/>
      </c>
      <c r="I61" s="60">
        <f>IFERROR(INDEX(Config!$C$3:$C$8,MATCH($G61,Config!$A$3:$A$8,0)),0)</f>
        <v/>
      </c>
      <c r="J61" s="59" t="inlineStr">
        <is>
          <t>docs/fase-4/4.1 a 4.5. Bloqueo con motivo si ningun pais coincide (BR-LE-004)</t>
        </is>
      </c>
    </row>
    <row r="62" ht="23.25" customHeight="1" s="36">
      <c r="A62" s="57" t="n">
        <v>61</v>
      </c>
      <c r="B62" s="57" t="inlineStr">
        <is>
          <t>Ola 1 - MVP: operar sin Excel</t>
        </is>
      </c>
      <c r="C62" s="57" t="inlineStr">
        <is>
          <t>F7</t>
        </is>
      </c>
      <c r="D62" s="57" t="inlineStr">
        <is>
          <t>Motor de campana</t>
        </is>
      </c>
      <c r="E62" s="58" t="inlineStr">
        <is>
          <t>7.1</t>
        </is>
      </c>
      <c r="F62" s="59" t="inlineStr">
        <is>
          <t>Entidad Campaign + estados + transiciones + auditoria + billing_legal_entity_id congelado</t>
        </is>
      </c>
      <c r="G62" s="60" t="inlineStr">
        <is>
          <t>Terminado</t>
        </is>
      </c>
      <c r="H62" s="61">
        <f>IFERROR(INDEX(Config!$B$3:$B$8,MATCH($G62,Config!$A$3:$A$8,0)),0)</f>
        <v/>
      </c>
      <c r="I62" s="60">
        <f>IFERROR(INDEX(Config!$C$3:$C$8,MATCH($G62,Config!$A$3:$A$8,0)),0)</f>
        <v/>
      </c>
      <c r="J62" s="59" t="inlineStr">
        <is>
          <t>docs/fase-7/7.1. DEC-089 a DEC-091</t>
        </is>
      </c>
    </row>
    <row r="63" ht="15" customHeight="1" s="36">
      <c r="A63" s="57" t="n">
        <v>62</v>
      </c>
      <c r="B63" s="57" t="inlineStr">
        <is>
          <t>Ola 1 - MVP: operar sin Excel</t>
        </is>
      </c>
      <c r="C63" s="57" t="inlineStr">
        <is>
          <t>F7</t>
        </is>
      </c>
      <c r="D63" s="57" t="inlineStr">
        <is>
          <t>Motor de campana</t>
        </is>
      </c>
      <c r="E63" s="58" t="inlineStr">
        <is>
          <t>7.2</t>
        </is>
      </c>
      <c r="F63" s="59" t="inlineStr">
        <is>
          <t>Brief: requisitos y formatos, veto de BR-CAMPAIGN-004, ingreso declarado</t>
        </is>
      </c>
      <c r="G63" s="60" t="inlineStr">
        <is>
          <t>Terminado</t>
        </is>
      </c>
      <c r="H63" s="61">
        <f>IFERROR(INDEX(Config!$B$3:$B$8,MATCH($G63,Config!$A$3:$A$8,0)),0)</f>
        <v/>
      </c>
      <c r="I63" s="60">
        <f>IFERROR(INDEX(Config!$C$3:$C$8,MATCH($G63,Config!$A$3:$A$8,0)),0)</f>
        <v/>
      </c>
      <c r="J63" s="59" t="inlineStr">
        <is>
          <t>docs/fase-7/7.2. DEC-092 a DEC-094. Hashtags, menciones y assets quedaron fuera a proposito</t>
        </is>
      </c>
    </row>
    <row r="64" ht="15" customHeight="1" s="36">
      <c r="A64" s="57" t="n">
        <v>63</v>
      </c>
      <c r="B64" s="57" t="inlineStr">
        <is>
          <t>Ola 1 - MVP: operar sin Excel</t>
        </is>
      </c>
      <c r="C64" s="57" t="inlineStr">
        <is>
          <t>F7</t>
        </is>
      </c>
      <c r="D64" s="57" t="inlineStr">
        <is>
          <t>Motor de campana</t>
        </is>
      </c>
      <c r="E64" s="58" t="inlineStr">
        <is>
          <t>7.3</t>
        </is>
      </c>
      <c r="F64" s="59" t="inlineStr">
        <is>
          <t>Mercados de campana (multipais) - modelo completo, UI minima</t>
        </is>
      </c>
      <c r="G64" s="60" t="inlineStr">
        <is>
          <t>Terminado</t>
        </is>
      </c>
      <c r="H64" s="61">
        <f>IFERROR(INDEX(Config!$B$3:$B$8,MATCH($G64,Config!$A$3:$A$8,0)),0)</f>
        <v/>
      </c>
      <c r="I64" s="60">
        <f>IFERROR(INDEX(Config!$C$3:$C$8,MATCH($G64,Config!$A$3:$A$8,0)),0)</f>
        <v/>
      </c>
      <c r="J64" s="59" t="inlineStr">
        <is>
          <t>docs/fase-7/7.3. DEC-095 a DEC-098. Cierra T-33</t>
        </is>
      </c>
    </row>
    <row r="65" ht="15" customHeight="1" s="36">
      <c r="A65" s="57" t="n">
        <v>64</v>
      </c>
      <c r="B65" s="57" t="inlineStr">
        <is>
          <t>Ola 1 - MVP: operar sin Excel</t>
        </is>
      </c>
      <c r="C65" s="57" t="inlineStr">
        <is>
          <t>F7</t>
        </is>
      </c>
      <c r="D65" s="57" t="inlineStr">
        <is>
          <t>Motor de campana</t>
        </is>
      </c>
      <c r="E65" s="58" t="inlineStr">
        <is>
          <t>7.4</t>
        </is>
      </c>
      <c r="F65" s="59" t="inlineStr">
        <is>
          <t>Buscador de creadores con filtros reales + shortlist</t>
        </is>
      </c>
      <c r="G65" s="60" t="inlineStr">
        <is>
          <t>Terminado</t>
        </is>
      </c>
      <c r="H65" s="61">
        <f>IFERROR(INDEX(Config!$B$3:$B$8,MATCH($G65,Config!$A$3:$A$8,0)),0)</f>
        <v/>
      </c>
      <c r="I65" s="60">
        <f>IFERROR(INDEX(Config!$C$3:$C$8,MATCH($G65,Config!$A$3:$A$8,0)),0)</f>
        <v/>
      </c>
      <c r="J65" s="59" t="inlineStr">
        <is>
          <t>docs/fase-7/7.4. DEC-099 a DEC-102. Media BR-CAMPAIGN-007 implementada; abre T-34</t>
        </is>
      </c>
    </row>
    <row r="66" ht="23.25" customHeight="1" s="36">
      <c r="A66" s="57" t="n">
        <v>65</v>
      </c>
      <c r="B66" s="57" t="inlineStr">
        <is>
          <t>Ola 1 - MVP: operar sin Excel</t>
        </is>
      </c>
      <c r="C66" s="57" t="inlineStr">
        <is>
          <t>F7</t>
        </is>
      </c>
      <c r="D66" s="57" t="inlineStr">
        <is>
          <t>Motor de campana</t>
        </is>
      </c>
      <c r="E66" s="58" t="inlineStr">
        <is>
          <t>7.5</t>
        </is>
      </c>
      <c r="F66" s="59" t="inlineStr">
        <is>
          <t>Seleccion, cupos por formato, costo comprometido por creador (congelado)</t>
        </is>
      </c>
      <c r="G66" s="60" t="inlineStr">
        <is>
          <t>Terminado</t>
        </is>
      </c>
      <c r="H66" s="61">
        <f>IFERROR(INDEX(Config!$B$3:$B$8,MATCH($G66,Config!$A$3:$A$8,0)),0)</f>
        <v/>
      </c>
      <c r="I66" s="60">
        <f>IFERROR(INDEX(Config!$C$3:$C$8,MATCH($G66,Config!$A$3:$A$8,0)),0)</f>
        <v/>
      </c>
      <c r="J66" s="59" t="inlineStr">
        <is>
          <t>docs/fase-7/7.5. DEC-103 a DEC-105. BR-CAMPAIGN-005 nombraba un dato que no existia. Cupos por mercado siguen siendo objetivo, no tope</t>
        </is>
      </c>
    </row>
    <row r="67" ht="23.25" customHeight="1" s="36">
      <c r="A67" s="57" t="n">
        <v>66</v>
      </c>
      <c r="B67" s="57" t="inlineStr">
        <is>
          <t>Ola 1 - MVP: operar sin Excel</t>
        </is>
      </c>
      <c r="C67" s="57" t="inlineStr">
        <is>
          <t>F7</t>
        </is>
      </c>
      <c r="D67" s="57" t="inlineStr">
        <is>
          <t>Motor de campana</t>
        </is>
      </c>
      <c r="E67" s="58" t="inlineStr">
        <is>
          <t>7.6</t>
        </is>
      </c>
      <c r="F67" s="59" t="inlineStr">
        <is>
          <t>Invitaciones: envio, expiracion, aceptacion, rechazo con motivo, preguntas</t>
        </is>
      </c>
      <c r="G67" s="60" t="inlineStr">
        <is>
          <t>Terminado</t>
        </is>
      </c>
      <c r="H67" s="61">
        <f>IFERROR(INDEX(Config!$B$3:$B$8,MATCH($G67,Config!$A$3:$A$8,0)),0)</f>
        <v/>
      </c>
      <c r="I67" s="60">
        <f>IFERROR(INDEX(Config!$C$3:$C$8,MATCH($G67,Config!$A$3:$A$8,0)),0)</f>
        <v/>
      </c>
      <c r="J67" s="59" t="inlineStr">
        <is>
          <t>docs/fase-7/7.6-INVITACIONES.md. DEC-119 a DEC-123. Enlace de un solo uso, plazo por campana, rechazo con motivo y reinvitacion con constancia. Las PREGUNTAS quedan fuera: T-38</t>
        </is>
      </c>
    </row>
    <row r="68" ht="23.25" customHeight="1" s="36">
      <c r="A68" s="57" t="n">
        <v>67</v>
      </c>
      <c r="B68" s="57" t="inlineStr">
        <is>
          <t>Ola 1 - MVP: operar sin Excel</t>
        </is>
      </c>
      <c r="C68" s="57" t="inlineStr">
        <is>
          <t>F7</t>
        </is>
      </c>
      <c r="D68" s="57" t="inlineStr">
        <is>
          <t>Motor de campana</t>
        </is>
      </c>
      <c r="E68" s="58" t="inlineStr">
        <is>
          <t>7.7</t>
        </is>
      </c>
      <c r="F68" s="59" t="inlineStr">
        <is>
          <t>Panel de seguimiento de la campana (quien va en que estado)</t>
        </is>
      </c>
      <c r="G68" s="60" t="inlineStr">
        <is>
          <t>Terminado</t>
        </is>
      </c>
      <c r="H68" s="61">
        <f>IFERROR(INDEX(Config!$B$3:$B$8,MATCH($G68,Config!$A$3:$A$8,0)),0)</f>
        <v/>
      </c>
      <c r="I68" s="60">
        <f>IFERROR(INDEX(Config!$C$3:$C$8,MATCH($G68,Config!$A$3:$A$8,0)),0)</f>
        <v/>
      </c>
      <c r="J68" s="59" t="inlineStr">
        <is>
          <t>docs/fase-7/7.7-SEGUIMIENTO.md. DEC-127 y DEC-128. Embudo, cupo por mercado (cubierto = aceptado, no invitado), dinero con el margen detras de su permiso, y cuatro alertas</t>
        </is>
      </c>
    </row>
    <row r="69" ht="23.25" customHeight="1" s="36">
      <c r="A69" s="57" t="n">
        <v>68</v>
      </c>
      <c r="B69" s="57" t="inlineStr">
        <is>
          <t>Ola 1 - MVP: operar sin Excel</t>
        </is>
      </c>
      <c r="C69" s="57" t="inlineStr">
        <is>
          <t>F7</t>
        </is>
      </c>
      <c r="D69" s="57" t="inlineStr">
        <is>
          <t>Motor de campana</t>
        </is>
      </c>
      <c r="E69" s="58" t="inlineStr">
        <is>
          <t>7.8</t>
        </is>
      </c>
      <c r="F69" s="59" t="inlineStr">
        <is>
          <t>Logistica de producto: direccion de envio, lista de despacho, tracking, confirmacion de recepcion</t>
        </is>
      </c>
      <c r="G69" s="60" t="inlineStr">
        <is>
          <t>Pendiente</t>
        </is>
      </c>
      <c r="H69" s="61">
        <f>IFERROR(INDEX(Config!$B$3:$B$8,MATCH($G69,Config!$A$3:$A$8,0)),0)</f>
        <v/>
      </c>
      <c r="I69" s="60">
        <f>IFERROR(INDEX(Config!$C$3:$C$8,MATCH($G69,Config!$A$3:$A$8,0)),0)</f>
        <v/>
      </c>
      <c r="J69" s="59" t="n"/>
    </row>
    <row r="70" ht="15" customHeight="1" s="36">
      <c r="A70" s="57" t="n">
        <v>69</v>
      </c>
      <c r="B70" s="57" t="inlineStr">
        <is>
          <t>Ola 1 - MVP: operar sin Excel</t>
        </is>
      </c>
      <c r="C70" s="57" t="inlineStr">
        <is>
          <t>F7</t>
        </is>
      </c>
      <c r="D70" s="57" t="inlineStr">
        <is>
          <t>Motor de campana</t>
        </is>
      </c>
      <c r="E70" s="58" t="inlineStr">
        <is>
          <t>7.9</t>
        </is>
      </c>
      <c r="F70" s="59" t="inlineStr">
        <is>
          <t>Campanas UGC vs distribucion</t>
        </is>
      </c>
      <c r="G70" s="60" t="inlineStr">
        <is>
          <t>Pendiente</t>
        </is>
      </c>
      <c r="H70" s="61">
        <f>IFERROR(INDEX(Config!$B$3:$B$8,MATCH($G70,Config!$A$3:$A$8,0)),0)</f>
        <v/>
      </c>
      <c r="I70" s="60">
        <f>IFERROR(INDEX(Config!$C$3:$C$8,MATCH($G70,Config!$A$3:$A$8,0)),0)</f>
        <v/>
      </c>
      <c r="J70" s="59" t="inlineStr">
        <is>
          <t>El objetivo ugc ya es un valor valido de la campana</t>
        </is>
      </c>
    </row>
    <row r="71" ht="23.25" customHeight="1" s="36">
      <c r="A71" s="57" t="n">
        <v>70</v>
      </c>
      <c r="B71" s="57" t="inlineStr">
        <is>
          <t>Ola 1 - MVP: operar sin Excel</t>
        </is>
      </c>
      <c r="C71" s="57" t="inlineStr">
        <is>
          <t>F7</t>
        </is>
      </c>
      <c r="D71" s="57" t="inlineStr">
        <is>
          <t>Motor de campana</t>
        </is>
      </c>
      <c r="E71" s="58" t="inlineStr">
        <is>
          <t>7.10</t>
        </is>
      </c>
      <c r="F71" s="59" t="inlineStr">
        <is>
          <t>Gestion de reemplazos: dropped/replaced, motivo, lista de espera, reasignacion de presupuesto</t>
        </is>
      </c>
      <c r="G71" s="60" t="inlineStr">
        <is>
          <t>Pendiente</t>
        </is>
      </c>
      <c r="H71" s="61">
        <f>IFERROR(INDEX(Config!$B$3:$B$8,MATCH($G71,Config!$A$3:$A$8,0)),0)</f>
        <v/>
      </c>
      <c r="I71" s="60">
        <f>IFERROR(INDEX(Config!$C$3:$C$8,MATCH($G71,Config!$A$3:$A$8,0)),0)</f>
        <v/>
      </c>
      <c r="J71" s="59" t="n"/>
    </row>
    <row r="72" ht="23.25" customHeight="1" s="36">
      <c r="A72" s="57" t="n">
        <v>71</v>
      </c>
      <c r="B72" s="57" t="inlineStr">
        <is>
          <t>Ola 1 - MVP: operar sin Excel</t>
        </is>
      </c>
      <c r="C72" s="57" t="inlineStr">
        <is>
          <t>F7</t>
        </is>
      </c>
      <c r="D72" s="57" t="inlineStr">
        <is>
          <t>Motor de campana</t>
        </is>
      </c>
      <c r="E72" s="58" t="inlineStr">
        <is>
          <t>7.11</t>
        </is>
      </c>
      <c r="F72" s="59" t="inlineStr">
        <is>
          <t>Deteccion de conflictos de marca y exclusividades vigentes</t>
        </is>
      </c>
      <c r="G72" s="60" t="inlineStr">
        <is>
          <t>En curso</t>
        </is>
      </c>
      <c r="H72" s="61">
        <f>IFERROR(INDEX(Config!$B$3:$B$8,MATCH($G72,Config!$A$3:$A$8,0)),0)</f>
        <v/>
      </c>
      <c r="I72" s="60">
        <f>IFERROR(INDEX(Config!$C$3:$C$8,MATCH($G72,Config!$A$3:$A$8,0)),0)</f>
        <v/>
      </c>
      <c r="J72" s="59" t="inlineStr">
        <is>
          <t>MEDIA hecha en 7.4: la categoria que el creador declaro que no trabaja ya excluye (DEC-100). Faltan competidores y exclusividades vigentes</t>
        </is>
      </c>
    </row>
    <row r="73" ht="15" customHeight="1" s="36">
      <c r="A73" s="57" t="n">
        <v>72</v>
      </c>
      <c r="B73" s="57" t="inlineStr">
        <is>
          <t>Ola 1 - MVP: operar sin Excel</t>
        </is>
      </c>
      <c r="C73" s="57" t="inlineStr">
        <is>
          <t>F7</t>
        </is>
      </c>
      <c r="D73" s="57" t="inlineStr">
        <is>
          <t>Motor de campana</t>
        </is>
      </c>
      <c r="E73" s="58" t="inlineStr">
        <is>
          <t>7.12</t>
        </is>
      </c>
      <c r="F73" s="59" t="inlineStr">
        <is>
          <t>Calendario de campana</t>
        </is>
      </c>
      <c r="G73" s="60" t="inlineStr">
        <is>
          <t>Pendiente</t>
        </is>
      </c>
      <c r="H73" s="61">
        <f>IFERROR(INDEX(Config!$B$3:$B$8,MATCH($G73,Config!$A$3:$A$8,0)),0)</f>
        <v/>
      </c>
      <c r="I73" s="60">
        <f>IFERROR(INDEX(Config!$C$3:$C$8,MATCH($G73,Config!$A$3:$A$8,0)),0)</f>
        <v/>
      </c>
      <c r="J73" s="59" t="n"/>
    </row>
    <row r="74" ht="15" customHeight="1" s="36">
      <c r="A74" s="57" t="n">
        <v>73</v>
      </c>
      <c r="B74" s="57" t="inlineStr">
        <is>
          <t>Ola 1 - MVP: operar sin Excel</t>
        </is>
      </c>
      <c r="C74" s="57" t="inlineStr">
        <is>
          <t>F7</t>
        </is>
      </c>
      <c r="D74" s="57" t="inlineStr">
        <is>
          <t>Motor de campana</t>
        </is>
      </c>
      <c r="E74" s="58" t="inlineStr">
        <is>
          <t>7.13</t>
        </is>
      </c>
      <c r="F74" s="59" t="inlineStr">
        <is>
          <t>QA de fase + Phase Review Report</t>
        </is>
      </c>
      <c r="G74" s="60" t="inlineStr">
        <is>
          <t>Pendiente</t>
        </is>
      </c>
      <c r="H74" s="61">
        <f>IFERROR(INDEX(Config!$B$3:$B$8,MATCH($G74,Config!$A$3:$A$8,0)),0)</f>
        <v/>
      </c>
      <c r="I74" s="60">
        <f>IFERROR(INDEX(Config!$C$3:$C$8,MATCH($G74,Config!$A$3:$A$8,0)),0)</f>
        <v/>
      </c>
      <c r="J74" s="59" t="n"/>
    </row>
    <row r="75" ht="45.75" customHeight="1" s="36">
      <c r="A75" s="57" t="n">
        <v>74</v>
      </c>
      <c r="B75" s="57" t="inlineStr">
        <is>
          <t>Ola 1 - MVP: operar sin Excel</t>
        </is>
      </c>
      <c r="C75" s="57" t="inlineStr">
        <is>
          <t>F8</t>
        </is>
      </c>
      <c r="D75" s="57" t="inlineStr">
        <is>
          <t>Contenido, revision y evidencia</t>
        </is>
      </c>
      <c r="E75" s="58" t="inlineStr">
        <is>
          <t>8.1</t>
        </is>
      </c>
      <c r="F75" s="59" t="inlineStr">
        <is>
          <t>Entregables: tipos, subida desde movil, enlaces, captions, hashtags</t>
        </is>
      </c>
      <c r="G75" s="60" t="inlineStr">
        <is>
          <t>Terminado</t>
        </is>
      </c>
      <c r="H75" s="61">
        <f>IFERROR(INDEX(Config!$B$3:$B$8,MATCH($G75,Config!$A$3:$A$8,0)),0)</f>
        <v/>
      </c>
      <c r="I75" s="60">
        <f>IFERROR(INDEX(Config!$C$3:$C$8,MATCH($G75,Config!$A$3:$A$8,0)),0)</f>
        <v/>
      </c>
      <c r="J75" s="59" t="inlineStr">
        <is>
          <t>docs/fase-8/8.1-ENTREGABLES.md. DEC-129 a DEC-132. Se generan solos al aceptar, del brief EFECTIVO del mercado (N-03). Enlace https obligatorio + imagen opcional. Si faltan los hashtags del brief no se envia y se dice cuales. Portal del creador (/mis-entregas) con creator.portal, primer permiso de ambito EXTERNAL. 32 pruebas.</t>
        </is>
      </c>
    </row>
    <row r="76" ht="57" customHeight="1" s="36">
      <c r="A76" s="57" t="n">
        <v>75</v>
      </c>
      <c r="B76" s="57" t="inlineStr">
        <is>
          <t>Ola 1 - MVP: operar sin Excel</t>
        </is>
      </c>
      <c r="C76" s="57" t="inlineStr">
        <is>
          <t>F8</t>
        </is>
      </c>
      <c r="D76" s="57" t="inlineStr">
        <is>
          <t>Contenido, revision y evidencia</t>
        </is>
      </c>
      <c r="E76" s="58" t="inlineStr">
        <is>
          <t>8.2</t>
        </is>
      </c>
      <c r="F76" s="59" t="inlineStr">
        <is>
          <t>Versionado append-only + puntero de version actual</t>
        </is>
      </c>
      <c r="G76" s="60" t="inlineStr">
        <is>
          <t>Terminado</t>
        </is>
      </c>
      <c r="H76" s="61">
        <f>IFERROR(INDEX(Config!$B$3:$B$8,MATCH($G76,Config!$A$3:$A$8,0)),0)</f>
        <v/>
      </c>
      <c r="I76" s="60">
        <f>IFERROR(INDEX(Config!$C$3:$C$8,MATCH($G76,Config!$A$3:$A$8,0)),0)</f>
        <v/>
      </c>
      <c r="J76" s="59" t="inlineStr">
        <is>
          <t>docs/fase-8/8.2-VERSION-VIGENTE.md. DEC-137 y DEC-138. El append-only es de 8.1 (uq_dv_number con la fila bloqueada); 8.2 anade el puntero a la version APROBADA con clave ajena COMPUESTA --garantiza que la version es de ESE entregable-- y la reapertura con motivo de lista cerrada y firma, que no deshace nada. Ademas tg_dv_entregable_abierto: el veto de «no se entrega sobre algo cerrado» vivia en el servicio desde 8.1 y la base no lo conocia (T-47).</t>
        </is>
      </c>
    </row>
    <row r="77" ht="57" customHeight="1" s="36">
      <c r="A77" s="57" t="n">
        <v>76</v>
      </c>
      <c r="B77" s="57" t="inlineStr">
        <is>
          <t>Ola 1 - MVP: operar sin Excel</t>
        </is>
      </c>
      <c r="C77" s="57" t="inlineStr">
        <is>
          <t>F8</t>
        </is>
      </c>
      <c r="D77" s="57" t="inlineStr">
        <is>
          <t>Contenido, revision y evidencia</t>
        </is>
      </c>
      <c r="E77" s="58" t="inlineStr">
        <is>
          <t>8.3</t>
        </is>
      </c>
      <c r="F77" s="59" t="inlineStr">
        <is>
          <t>Cola de revision interna + comentarios por version + solicitud de correccion</t>
        </is>
      </c>
      <c r="G77" s="60" t="inlineStr">
        <is>
          <t>Terminado</t>
        </is>
      </c>
      <c r="H77" s="61">
        <f>IFERROR(INDEX(Config!$B$3:$B$8,MATCH($G77,Config!$A$3:$A$8,0)),0)</f>
        <v/>
      </c>
      <c r="I77" s="60">
        <f>IFERROR(INDEX(Config!$C$3:$C$8,MATCH($G77,Config!$A$3:$A$8,0)),0)</f>
        <v/>
      </c>
      <c r="J77" s="59" t="inlineStr">
        <is>
          <t>docs/fase-8/8.3-REVISION.md. DEC-133 a DEC-136. Bandeja GLOBAL ordenada por lo que lleva mas esperando. Solo las rondas del CLIENTE cuentan y son POR ENTREGABLE (el contador estaba en campaign_creators). Pasarse bloquea y exige decidir si se cobra o se absorbe, firmado. Tres permisos: content.review, content.approve y content.extra_round. tg_cvw_inmutable cierra el append-only que 2.12 afirmaba sin impedir nada. 30 pruebas.</t>
        </is>
      </c>
    </row>
    <row r="78" ht="23.25" customHeight="1" s="36">
      <c r="A78" s="57" t="n">
        <v>77</v>
      </c>
      <c r="B78" s="57" t="inlineStr">
        <is>
          <t>Ola 1 - MVP: operar sin Excel</t>
        </is>
      </c>
      <c r="C78" s="57" t="inlineStr">
        <is>
          <t>F8</t>
        </is>
      </c>
      <c r="D78" s="57" t="inlineStr">
        <is>
          <t>Contenido, revision y evidencia</t>
        </is>
      </c>
      <c r="E78" s="58" t="inlineStr">
        <is>
          <t>8.4</t>
        </is>
      </c>
      <c r="F78" s="59" t="inlineStr">
        <is>
          <t>Aprobacion interna y limite de rondas</t>
        </is>
      </c>
      <c r="G78" s="60" t="inlineStr">
        <is>
          <t>Terminado</t>
        </is>
      </c>
      <c r="H78" s="61">
        <f>IFERROR(INDEX(Config!$B$3:$B$8,MATCH($G78,Config!$A$3:$A$8,0)),0)</f>
        <v/>
      </c>
      <c r="I78" s="60">
        <f>IFERROR(INDEX(Config!$C$3:$C$8,MATCH($G78,Config!$A$3:$A$8,0)),0)</f>
        <v/>
      </c>
      <c r="J78" s="59" t="inlineStr">
        <is>
          <t>docs/fase-8/8.4-TECHO-DE-RONDAS.md. El techo lo impone la BASE, no un if: solo la correccion del CLIENTE gasta ronda y una ronda de mas se declara.</t>
        </is>
      </c>
    </row>
    <row r="79" ht="23.25" customHeight="1" s="36">
      <c r="A79" s="57" t="n">
        <v>78</v>
      </c>
      <c r="B79" s="57" t="inlineStr">
        <is>
          <t>Ola 1 - MVP: operar sin Excel</t>
        </is>
      </c>
      <c r="C79" s="57" t="inlineStr">
        <is>
          <t>F8</t>
        </is>
      </c>
      <c r="D79" s="57" t="inlineStr">
        <is>
          <t>Contenido, revision y evidencia</t>
        </is>
      </c>
      <c r="E79" s="58" t="inlineStr">
        <is>
          <t>8.5</t>
        </is>
      </c>
      <c r="F79" s="59" t="inlineStr">
        <is>
          <t>Aprobacion del cliente por enlace firmado (sin portal completo)</t>
        </is>
      </c>
      <c r="G79" s="60" t="inlineStr">
        <is>
          <t>Terminado</t>
        </is>
      </c>
      <c r="H79" s="61">
        <f>IFERROR(INDEX(Config!$B$3:$B$8,MATCH($G79,Config!$A$3:$A$8,0)),0)</f>
        <v/>
      </c>
      <c r="I79" s="60">
        <f>IFERROR(INDEX(Config!$C$3:$C$8,MATCH($G79,Config!$A$3:$A$8,0)),0)</f>
        <v/>
      </c>
      <c r="J79" s="59" t="inlineStr">
        <is>
          <t>docs/fase-8/8.5-APROBACION-DEL-CLIENTE.md. Enlace de un solo uso, sin portal ni contrasena, y sin un solo importe. Queda su hora y su IP.</t>
        </is>
      </c>
    </row>
    <row r="80" ht="57" customHeight="1" s="36">
      <c r="A80" s="57" t="n">
        <v>79</v>
      </c>
      <c r="B80" s="57" t="inlineStr">
        <is>
          <t>Ola 1 - MVP: operar sin Excel</t>
        </is>
      </c>
      <c r="C80" s="57" t="inlineStr">
        <is>
          <t>F8</t>
        </is>
      </c>
      <c r="D80" s="57" t="inlineStr">
        <is>
          <t>Contenido, revision y evidencia</t>
        </is>
      </c>
      <c r="E80" s="58" t="inlineStr">
        <is>
          <t>8.6</t>
        </is>
      </c>
      <c r="F80" s="59" t="inlineStr">
        <is>
          <t>Programacion y registro de publicacion (URL)</t>
        </is>
      </c>
      <c r="G80" s="60" t="inlineStr">
        <is>
          <t>Terminado</t>
        </is>
      </c>
      <c r="H80" s="61">
        <f>IFERROR(INDEX(Config!$B$3:$B$8,MATCH($G80,Config!$A$3:$A$8,0)),0)</f>
        <v/>
      </c>
      <c r="I80" s="60">
        <f>IFERROR(INDEX(Config!$C$3:$C$8,MATCH($G80,Config!$A$3:$A$8,0)),0)</f>
        <v/>
      </c>
      <c r="J80" s="59" t="inlineStr">
        <is>
          <t>docs/fase-8/8.6-PUBLICACION.md. DEC-139 a DEC-141. El creador pega el enlace desde su portal y el equipo puede hacerlo por el; solo se publica lo APROBADO y esa version (snapshot con clave ajena compuesta). La red se deduce del enlace con platforms.url_pattern y tiene que ser la del brief. La huella normaliza la URL para que uq_pub_fingerprint sirva de algo. 31 pruebas. La PROGRAMACION queda fuera: hoy se registra lo ya publicado.</t>
        </is>
      </c>
    </row>
    <row r="81" ht="57" customHeight="1" s="36">
      <c r="A81" s="57" t="n">
        <v>80</v>
      </c>
      <c r="B81" s="57" t="inlineStr">
        <is>
          <t>Ola 1 - MVP: operar sin Excel</t>
        </is>
      </c>
      <c r="C81" s="57" t="inlineStr">
        <is>
          <t>F8</t>
        </is>
      </c>
      <c r="D81" s="57" t="inlineStr">
        <is>
          <t>Contenido, revision y evidencia</t>
        </is>
      </c>
      <c r="E81" s="58" t="inlineStr">
        <is>
          <t>8.7</t>
        </is>
      </c>
      <c r="F81" s="59" t="inlineStr">
        <is>
          <t>Verificacion de publicacion + archivado de evidencia</t>
        </is>
      </c>
      <c r="G81" s="60" t="inlineStr">
        <is>
          <t>Terminado</t>
        </is>
      </c>
      <c r="H81" s="61">
        <f>IFERROR(INDEX(Config!$B$3:$B$8,MATCH($G81,Config!$A$3:$A$8,0)),0)</f>
        <v/>
      </c>
      <c r="I81" s="60">
        <f>IFERROR(INDEX(Config!$C$3:$C$8,MATCH($G81,Config!$A$3:$A$8,0)),0)</f>
        <v/>
      </c>
      <c r="J81" s="59" t="inlineStr">
        <is>
          <t>docs/fase-8/8.7-EVIDENCIA.md. DEC-142 a DEC-144. La evidencia es una CAPTURA y no una comprobacion HTTP: Instagram y TikTok responden igual a un post vivo que a un bloqueo, y de verified cuelga el pago. Permiso propio content.verify. Si el post no esta, el entregable vuelve al CREADOR y se le avisa. permanence_until se calcula al verificar. T-50: una rechazada bloqueaba su propio enlace (columna puerta viva_gate, la decimoquinta). 21 pruebas.</t>
        </is>
      </c>
    </row>
    <row r="82" ht="23.25" customHeight="1" s="36">
      <c r="A82" s="57" t="n">
        <v>81</v>
      </c>
      <c r="B82" s="57" t="inlineStr">
        <is>
          <t>Ola 1 - MVP: operar sin Excel</t>
        </is>
      </c>
      <c r="C82" s="57" t="inlineStr">
        <is>
          <t>F8</t>
        </is>
      </c>
      <c r="D82" s="57" t="inlineStr">
        <is>
          <t>Contenido, revision y evidencia</t>
        </is>
      </c>
      <c r="E82" s="58" t="inlineStr">
        <is>
          <t>8.8</t>
        </is>
      </c>
      <c r="F82" s="59" t="inlineStr">
        <is>
          <t>Control de permanencia minima del post</t>
        </is>
      </c>
      <c r="G82" s="60" t="inlineStr">
        <is>
          <t>Terminado</t>
        </is>
      </c>
      <c r="H82" s="61">
        <f>IFERROR(INDEX(Config!$B$3:$B$8,MATCH($G82,Config!$A$3:$A$8,0)),0)</f>
        <v/>
      </c>
      <c r="I82" s="60">
        <f>IFERROR(INDEX(Config!$C$3:$C$8,MATCH($G82,Config!$A$3:$A$8,0)),0)</f>
        <v/>
      </c>
      <c r="J82" s="59" t="inlineStr">
        <is>
          <t>docs/fase-8/8.8-PERMANENCIA.md. Bandeja, historico que no se edita y comando diario a las 06:00. Si el post desaparece, el pago se para y el creador se entera.</t>
        </is>
      </c>
    </row>
    <row r="83" ht="15" customHeight="1" s="36">
      <c r="A83" s="57" t="n">
        <v>82</v>
      </c>
      <c r="B83" s="57" t="inlineStr">
        <is>
          <t>Ola 1 - MVP: operar sin Excel</t>
        </is>
      </c>
      <c r="C83" s="57" t="inlineStr">
        <is>
          <t>F8</t>
        </is>
      </c>
      <c r="D83" s="57" t="inlineStr">
        <is>
          <t>Contenido, revision y evidencia</t>
        </is>
      </c>
      <c r="E83" s="58" t="inlineStr">
        <is>
          <t>8.9</t>
        </is>
      </c>
      <c r="F83" s="59" t="inlineStr">
        <is>
          <t>Hilos de mensajes creador &lt;-&gt; equipo por campana</t>
        </is>
      </c>
      <c r="G83" s="60" t="inlineStr">
        <is>
          <t>Pendiente</t>
        </is>
      </c>
      <c r="H83" s="61">
        <f>IFERROR(INDEX(Config!$B$3:$B$8,MATCH($G83,Config!$A$3:$A$8,0)),0)</f>
        <v/>
      </c>
      <c r="I83" s="60">
        <f>IFERROR(INDEX(Config!$C$3:$C$8,MATCH($G83,Config!$A$3:$A$8,0)),0)</f>
        <v/>
      </c>
      <c r="J83" s="59" t="inlineStr">
        <is>
          <t>Sin empezar. Hoy la conversacion con el creador es el correo de 7.6b.</t>
        </is>
      </c>
    </row>
    <row r="84" ht="23.25" customHeight="1" s="36">
      <c r="A84" s="57" t="n">
        <v>83</v>
      </c>
      <c r="B84" s="57" t="inlineStr">
        <is>
          <t>Ola 1 - MVP: operar sin Excel</t>
        </is>
      </c>
      <c r="C84" s="57" t="inlineStr">
        <is>
          <t>F8</t>
        </is>
      </c>
      <c r="D84" s="57" t="inlineStr">
        <is>
          <t>Contenido, revision y evidencia</t>
        </is>
      </c>
      <c r="E84" s="58" t="inlineStr">
        <is>
          <t>8.10</t>
        </is>
      </c>
      <c r="F84" s="59" t="inlineStr">
        <is>
          <t>Derechos de uso: alcance, territorio, canales, exclusividad, vigencia</t>
        </is>
      </c>
      <c r="G84" s="60" t="inlineStr">
        <is>
          <t>Pendiente</t>
        </is>
      </c>
      <c r="H84" s="61">
        <f>IFERROR(INDEX(Config!$B$3:$B$8,MATCH($G84,Config!$A$3:$A$8,0)),0)</f>
        <v/>
      </c>
      <c r="I84" s="60">
        <f>IFERROR(INDEX(Config!$C$3:$C$8,MATCH($G84,Config!$A$3:$A$8,0)),0)</f>
        <v/>
      </c>
      <c r="J84" s="59" t="inlineStr">
        <is>
          <t>DESBLOQUEADA (2026-08-30). Los terminos ya existen y se editan desde el admin (9.16); los derechos de uso son la seccion 6 del texto base, marcada [REVISAR]. Lo que falta es MODELARLOS: licencia, territorio, plazo y exclusividad no son hoy datos de la campana, y el propio texto lo advierte.</t>
        </is>
      </c>
    </row>
    <row r="85" ht="23.25" customHeight="1" s="36">
      <c r="A85" s="57" t="n">
        <v>84</v>
      </c>
      <c r="B85" s="57" t="inlineStr">
        <is>
          <t>Ola 1 - MVP: operar sin Excel</t>
        </is>
      </c>
      <c r="C85" s="57" t="inlineStr">
        <is>
          <t>F8</t>
        </is>
      </c>
      <c r="D85" s="57" t="inlineStr">
        <is>
          <t>Contenido, revision y evidencia</t>
        </is>
      </c>
      <c r="E85" s="58" t="inlineStr">
        <is>
          <t>8.11</t>
        </is>
      </c>
      <c r="F85" s="59" t="inlineStr">
        <is>
          <t>QA de fase + Phase Review Report</t>
        </is>
      </c>
      <c r="G85" s="60" t="inlineStr">
        <is>
          <t>Terminado</t>
        </is>
      </c>
      <c r="H85" s="61">
        <f>IFERROR(INDEX(Config!$B$3:$B$8,MATCH($G85,Config!$A$3:$A$8,0)),0)</f>
        <v/>
      </c>
      <c r="I85" s="60">
        <f>IFERROR(INDEX(Config!$C$3:$C$8,MATCH($G85,Config!$A$3:$A$8,0)),0)</f>
        <v/>
      </c>
      <c r="J85" s="59" t="inlineStr">
        <is>
          <t>docs/fase-8/8.11-QA-DE-FASE.md. Septima puerta. Encontro nueve suites que se habrian puesto verdes con el motor apagado (T-55) y dos cosas mas que la fase daba por hechas.</t>
        </is>
      </c>
    </row>
    <row r="86" ht="23.25" customHeight="1" s="36">
      <c r="A86" s="57" t="n">
        <v>85</v>
      </c>
      <c r="B86" s="57" t="inlineStr">
        <is>
          <t>Ola 1 - MVP: operar sin Excel</t>
        </is>
      </c>
      <c r="C86" s="57" t="inlineStr">
        <is>
          <t>F8</t>
        </is>
      </c>
      <c r="D86" s="57" t="inlineStr">
        <is>
          <t>Contenido, revision y evidencia</t>
        </is>
      </c>
      <c r="E86" s="58" t="inlineStr">
        <is>
          <t>8.12</t>
        </is>
      </c>
      <c r="F86" s="59" t="inlineStr">
        <is>
          <t>La sociedad que factura, explicada en la ficha de campana</t>
        </is>
      </c>
      <c r="G86" s="60" t="inlineStr">
        <is>
          <t>Terminado</t>
        </is>
      </c>
      <c r="H86" s="61">
        <f>IFERROR(INDEX(Config!$B$3:$B$8,MATCH($G86,Config!$A$3:$A$8,0)),0)</f>
        <v/>
      </c>
      <c r="I86" s="60">
        <f>IFERROR(INDEX(Config!$C$3:$C$8,MATCH($G86,Config!$A$3:$A$8,0)),0)</f>
        <v/>
      </c>
      <c r="J86" s="59" t="inlineStr">
        <is>
          <t>FUERA DEL ALCANCE ORIGINAL. docs/fase-8/8.12-LA-SOCIEDAD-QUE-FACTURA.md. Salio T-58: la pantalla llevaba desde 7.1 imprimiendo la sociedad de HOY bajo el rotulo de la guardada.</t>
        </is>
      </c>
    </row>
    <row r="87" ht="23.25" customHeight="1" s="36">
      <c r="A87" s="57" t="n">
        <v>86</v>
      </c>
      <c r="B87" s="57" t="inlineStr">
        <is>
          <t>Ola 1 - MVP: operar sin Excel</t>
        </is>
      </c>
      <c r="C87" s="57" t="inlineStr">
        <is>
          <t>F8</t>
        </is>
      </c>
      <c r="D87" s="57" t="inlineStr">
        <is>
          <t>Contenido, revision y evidencia</t>
        </is>
      </c>
      <c r="E87" s="58" t="inlineStr">
        <is>
          <t>8.13</t>
        </is>
      </c>
      <c r="F87" s="59" t="inlineStr">
        <is>
          <t>Correccion del registro de decisiones y adelanto de 9.11</t>
        </is>
      </c>
      <c r="G87" s="60" t="inlineStr">
        <is>
          <t>Terminado</t>
        </is>
      </c>
      <c r="H87" s="61">
        <f>IFERROR(INDEX(Config!$B$3:$B$8,MATCH($G87,Config!$A$3:$A$8,0)),0)</f>
        <v/>
      </c>
      <c r="I87" s="60">
        <f>IFERROR(INDEX(Config!$C$3:$C$8,MATCH($G87,Config!$A$3:$A$8,0)),0)</f>
        <v/>
      </c>
      <c r="J87" s="59" t="inlineStr">
        <is>
          <t>FUERA DEL ALCANCE ORIGINAL. Solo documentos. T-59: una decision mia (DEC-156) afirmaba algo falso sobre el esquema. DEC-157 adelanto la validacion de 9.11 a 9.6.</t>
        </is>
      </c>
    </row>
    <row r="88" ht="23.25" customHeight="1" s="36">
      <c r="A88" s="57" t="n">
        <v>87</v>
      </c>
      <c r="B88" s="57" t="inlineStr">
        <is>
          <t>Ola 1 - MVP: operar sin Excel</t>
        </is>
      </c>
      <c r="C88" s="57" t="inlineStr">
        <is>
          <t>F9</t>
        </is>
      </c>
      <c r="D88" s="57" t="inlineStr">
        <is>
          <t>Finanzas</t>
        </is>
      </c>
      <c r="E88" s="58" t="inlineStr">
        <is>
          <t>9.1</t>
        </is>
      </c>
      <c r="F88" s="59" t="inlineStr">
        <is>
          <t>Monedas, tipo de cambio con historial y proveedor configurable</t>
        </is>
      </c>
      <c r="G88" s="60" t="inlineStr">
        <is>
          <t>Terminado</t>
        </is>
      </c>
      <c r="H88" s="61">
        <f>IFERROR(INDEX(Config!$B$3:$B$8,MATCH($G88,Config!$A$3:$A$8,0)),0)</f>
        <v/>
      </c>
      <c r="I88" s="60">
        <f>IFERROR(INDEX(Config!$C$3:$C$8,MATCH($G88,Config!$A$3:$A$8,0)),0)</f>
        <v/>
      </c>
      <c r="J88" s="59" t="inlineStr">
        <is>
          <t>CUBIERTA POR 9.1 Y 9.2 del roadmap actual. Fuente oficial por par con periodos, compra y venta, tasa inmutable, y cron a las 05:30 con Decolecta. Q-62/Q-63/Q-64 abiertas.</t>
        </is>
      </c>
    </row>
    <row r="89" ht="23.25" customHeight="1" s="36">
      <c r="A89" s="57" t="n">
        <v>88</v>
      </c>
      <c r="B89" s="57" t="inlineStr">
        <is>
          <t>Ola 1 - MVP: operar sin Excel</t>
        </is>
      </c>
      <c r="C89" s="57" t="inlineStr">
        <is>
          <t>F9</t>
        </is>
      </c>
      <c r="D89" s="57" t="inlineStr">
        <is>
          <t>Finanzas</t>
        </is>
      </c>
      <c r="E89" s="58" t="inlineStr">
        <is>
          <t>9.2</t>
        </is>
      </c>
      <c r="F89" s="59" t="inlineStr">
        <is>
          <t>Ledger append-only del creador + estados de asiento</t>
        </is>
      </c>
      <c r="G89" s="60" t="inlineStr">
        <is>
          <t>Terminado</t>
        </is>
      </c>
      <c r="H89" s="61">
        <f>IFERROR(INDEX(Config!$B$3:$B$8,MATCH($G89,Config!$A$3:$A$8,0)),0)</f>
        <v/>
      </c>
      <c r="I89" s="60">
        <f>IFERROR(INDEX(Config!$C$3:$C$8,MATCH($G89,Config!$A$3:$A$8,0)),0)</f>
        <v/>
      </c>
      <c r="J89" s="59" t="inlineStr">
        <is>
          <t>ES LA 9.3 del roadmap actual (la numeracion de F9 se reordeno al ejecutar). Grafo de estados, un devengo por participacion, barrido diario y motivo obligatorio.</t>
        </is>
      </c>
    </row>
    <row r="90" ht="23.25" customHeight="1" s="36">
      <c r="A90" s="57" t="n">
        <v>89</v>
      </c>
      <c r="B90" s="57" t="inlineStr">
        <is>
          <t>Ola 1 - MVP: operar sin Excel</t>
        </is>
      </c>
      <c r="C90" s="57" t="inlineStr">
        <is>
          <t>F9</t>
        </is>
      </c>
      <c r="D90" s="57" t="inlineStr">
        <is>
          <t>Finanzas</t>
        </is>
      </c>
      <c r="E90" s="58" t="inlineStr">
        <is>
          <t>9.3</t>
        </is>
      </c>
      <c r="F90" s="59" t="inlineStr">
        <is>
          <t>Devengo automatico por eventos de campana</t>
        </is>
      </c>
      <c r="G90" s="60" t="inlineStr">
        <is>
          <t>Terminado</t>
        </is>
      </c>
      <c r="H90" s="61">
        <f>IFERROR(INDEX(Config!$B$3:$B$8,MATCH($G90,Config!$A$3:$A$8,0)),0)</f>
        <v/>
      </c>
      <c r="I90" s="60">
        <f>IFERROR(INDEX(Config!$C$3:$C$8,MATCH($G90,Config!$A$3:$A$8,0)),0)</f>
        <v/>
      </c>
      <c r="J90" s="59" t="inlineStr">
        <is>
          <t>ES LA 9.4 del roadmap actual. Aceptar anota el asiento solo, por evento, y ledger:revisar rescata lo que se quedo sin asiento avisando de que hubo que rescatarlo.</t>
        </is>
      </c>
    </row>
    <row r="91" ht="23.25" customHeight="1" s="36">
      <c r="A91" s="57" t="n">
        <v>90</v>
      </c>
      <c r="B91" s="57" t="inlineStr">
        <is>
          <t>Ola 1 - MVP: operar sin Excel</t>
        </is>
      </c>
      <c r="C91" s="57" t="inlineStr">
        <is>
          <t>F9</t>
        </is>
      </c>
      <c r="D91" s="57" t="inlineStr">
        <is>
          <t>Finanzas</t>
        </is>
      </c>
      <c r="E91" s="58" t="inlineStr">
        <is>
          <t>9.4</t>
        </is>
      </c>
      <c r="F91" s="59" t="inlineStr">
        <is>
          <t>Aprobacion de ganancias, ajustes, bonos, retenciones</t>
        </is>
      </c>
      <c r="G91" s="60" t="inlineStr">
        <is>
          <t>Pendiente</t>
        </is>
      </c>
      <c r="H91" s="61">
        <f>IFERROR(INDEX(Config!$B$3:$B$8,MATCH($G91,Config!$A$3:$A$8,0)),0)</f>
        <v/>
      </c>
      <c r="I91" s="60">
        <f>IFERROR(INDEX(Config!$C$3:$C$8,MATCH($G91,Config!$A$3:$A$8,0)),0)</f>
        <v/>
      </c>
      <c r="J91" s="59" t="inlineStr">
        <is>
          <t>DESBLOQUEADA (2026-08-30). Q-40 respondida: 29,5% configurable. DEC-191 fija la forma: se pacta el NETO, el sistema calcula el bruto (neto/(1-tasa)) y lo compara con un umbral de rentabilidad. Tasa, umbral y base del umbral, desde el admin.</t>
        </is>
      </c>
    </row>
    <row r="92" ht="23.25" customHeight="1" s="36">
      <c r="A92" s="57" t="n">
        <v>91</v>
      </c>
      <c r="B92" s="57" t="inlineStr">
        <is>
          <t>Ola 1 - MVP: operar sin Excel</t>
        </is>
      </c>
      <c r="C92" s="57" t="inlineStr">
        <is>
          <t>F9</t>
        </is>
      </c>
      <c r="D92" s="57" t="inlineStr">
        <is>
          <t>Finanzas</t>
        </is>
      </c>
      <c r="E92" s="58" t="inlineStr">
        <is>
          <t>9.5</t>
        </is>
      </c>
      <c r="F92" s="59" t="inlineStr">
        <is>
          <t>Requisitos documentales por pais/regimen</t>
        </is>
      </c>
      <c r="G92" s="60" t="inlineStr">
        <is>
          <t>Pendiente</t>
        </is>
      </c>
      <c r="H92" s="61">
        <f>IFERROR(INDEX(Config!$B$3:$B$8,MATCH($G92,Config!$A$3:$A$8,0)),0)</f>
        <v/>
      </c>
      <c r="I92" s="60">
        <f>IFERROR(INDEX(Config!$C$3:$C$8,MATCH($G92,Config!$A$3:$A$8,0)),0)</f>
        <v/>
      </c>
      <c r="J92" s="59" t="inlineStr">
        <is>
          <t>DESBLOQUEADA (2026-08-30) por Q-40. Los requisitos documentales por pais dependen ahora de configuracion, no de una decision pendiente.</t>
        </is>
      </c>
    </row>
    <row r="93" ht="23.25" customHeight="1" s="36">
      <c r="A93" s="57" t="n">
        <v>92</v>
      </c>
      <c r="B93" s="57" t="inlineStr">
        <is>
          <t>Ola 1 - MVP: operar sin Excel</t>
        </is>
      </c>
      <c r="C93" s="57" t="inlineStr">
        <is>
          <t>F9</t>
        </is>
      </c>
      <c r="D93" s="57" t="inlineStr">
        <is>
          <t>Finanzas</t>
        </is>
      </c>
      <c r="E93" s="58" t="inlineStr">
        <is>
          <t>9.6</t>
        </is>
      </c>
      <c r="F93" s="59" t="inlineStr">
        <is>
          <t>Lotes de pago: generacion, aprobacion (doble control sobre umbral), exportacion bancaria</t>
        </is>
      </c>
      <c r="G93" s="60" t="inlineStr">
        <is>
          <t>Terminado</t>
        </is>
      </c>
      <c r="H93" s="61">
        <f>IFERROR(INDEX(Config!$B$3:$B$8,MATCH($G93,Config!$A$3:$A$8,0)),0)</f>
        <v/>
      </c>
      <c r="I93" s="60">
        <f>IFERROR(INDEX(Config!$C$3:$C$8,MATCH($G93,Config!$A$3:$A$8,0)),0)</f>
        <v/>
      </c>
      <c r="J93" s="59" t="inlineStr">
        <is>
          <t>docs/fase-9/9.6-LOTES-DE-PAGO.md. Dos firmas SIEMPRE y la base garantiza que paga la sociedad de la campana. El CSV no es el archivo del banco, y lo dice.</t>
        </is>
      </c>
    </row>
    <row r="94" ht="23.25" customHeight="1" s="36">
      <c r="A94" s="57" t="n">
        <v>93</v>
      </c>
      <c r="B94" s="57" t="inlineStr">
        <is>
          <t>Ola 1 - MVP: operar sin Excel</t>
        </is>
      </c>
      <c r="C94" s="57" t="inlineStr">
        <is>
          <t>F9</t>
        </is>
      </c>
      <c r="D94" s="57" t="inlineStr">
        <is>
          <t>Finanzas</t>
        </is>
      </c>
      <c r="E94" s="58" t="inlineStr">
        <is>
          <t>9.7</t>
        </is>
      </c>
      <c r="F94" s="59" t="inlineStr">
        <is>
          <t>Registro de pago, comprobante, notificacion al creador</t>
        </is>
      </c>
      <c r="G94" s="60" t="inlineStr">
        <is>
          <t>Terminado</t>
        </is>
      </c>
      <c r="H94" s="61">
        <f>IFERROR(INDEX(Config!$B$3:$B$8,MATCH($G94,Config!$A$3:$A$8,0)),0)</f>
        <v/>
      </c>
      <c r="I94" s="60">
        <f>IFERROR(INDEX(Config!$C$3:$C$8,MATCH($G94,Config!$A$3:$A$8,0)),0)</f>
        <v/>
      </c>
      <c r="J94" s="59" t="inlineStr">
        <is>
          <t>docs/fase-9/9.7-CONCILIACION.md. Grafo de estados del pago; confirmar exige referencia y fecha valor. Un pago devuelto no deshace el devengo: lo revierte.</t>
        </is>
      </c>
    </row>
    <row r="95" ht="23.25" customHeight="1" s="36">
      <c r="A95" s="57" t="n">
        <v>94</v>
      </c>
      <c r="B95" s="57" t="inlineStr">
        <is>
          <t>Ola 1 - MVP: operar sin Excel</t>
        </is>
      </c>
      <c r="C95" s="57" t="inlineStr">
        <is>
          <t>F9</t>
        </is>
      </c>
      <c r="D95" s="57" t="inlineStr">
        <is>
          <t>Finanzas</t>
        </is>
      </c>
      <c r="E95" s="58" t="inlineStr">
        <is>
          <t>9.8</t>
        </is>
      </c>
      <c r="F95" s="59" t="inlineStr">
        <is>
          <t>Vista Mis ingresos en el portal del creador</t>
        </is>
      </c>
      <c r="G95" s="60" t="inlineStr">
        <is>
          <t>Terminado</t>
        </is>
      </c>
      <c r="H95" s="61">
        <f>IFERROR(INDEX(Config!$B$3:$B$8,MATCH($G95,Config!$A$3:$A$8,0)),0)</f>
        <v/>
      </c>
      <c r="I95" s="60">
        <f>IFERROR(INDEX(Config!$C$3:$C$8,MATCH($G95,Config!$A$3:$A$8,0)),0)</f>
        <v/>
      </c>
      <c r="J95" s="59" t="inlineStr">
        <is>
          <t>docs/fase-9/9.8-MIS-INGRESOS.md. Saldo por moneda, sin un solo boton, y sin el motivo interno de una retencion.</t>
        </is>
      </c>
    </row>
    <row r="96" ht="15" customHeight="1" s="36">
      <c r="A96" s="57" t="n">
        <v>95</v>
      </c>
      <c r="B96" s="57" t="inlineStr">
        <is>
          <t>Ola 1 - MVP: operar sin Excel</t>
        </is>
      </c>
      <c r="C96" s="57" t="inlineStr">
        <is>
          <t>F9</t>
        </is>
      </c>
      <c r="D96" s="57" t="inlineStr">
        <is>
          <t>Finanzas</t>
        </is>
      </c>
      <c r="E96" s="58" t="inlineStr">
        <is>
          <t>9.9</t>
        </is>
      </c>
      <c r="F96" s="59" t="inlineStr">
        <is>
          <t>Facturacion al cliente emitida desde la entidad legal</t>
        </is>
      </c>
      <c r="G96" s="60" t="inlineStr">
        <is>
          <t>Pendiente</t>
        </is>
      </c>
      <c r="H96" s="61">
        <f>IFERROR(INDEX(Config!$B$3:$B$8,MATCH($G96,Config!$A$3:$A$8,0)),0)</f>
        <v/>
      </c>
      <c r="I96" s="60">
        <f>IFERROR(INDEX(Config!$C$3:$C$8,MATCH($G96,Config!$A$3:$A$8,0)),0)</f>
        <v/>
      </c>
      <c r="J96" s="59" t="inlineStr">
        <is>
          <t>DESBLOQUEADA (2026-08-30). Q-44: exportacion de servicios, sin IGV, configurable. Q-03/DEC-192: facturacion DIRECTA con SUNAT --sin proveedor-- con certificado, correlativos y plantillas desde el admin, y monitor de documentos timbrados con reintentos y descarga de CDR/XML/PDF.</t>
        </is>
      </c>
    </row>
    <row r="97" ht="23.25" customHeight="1" s="36">
      <c r="A97" s="57" t="n">
        <v>96</v>
      </c>
      <c r="B97" s="57" t="inlineStr">
        <is>
          <t>Ola 1 - MVP: operar sin Excel</t>
        </is>
      </c>
      <c r="C97" s="57" t="inlineStr">
        <is>
          <t>F9</t>
        </is>
      </c>
      <c r="D97" s="57" t="inlineStr">
        <is>
          <t>Finanzas</t>
        </is>
      </c>
      <c r="E97" s="58" t="inlineStr">
        <is>
          <t>9.10</t>
        </is>
      </c>
      <c r="F97" s="59" t="inlineStr">
        <is>
          <t>Rentabilidad por campana (P&amp;L interno) y por sociedad, con acceso estricto</t>
        </is>
      </c>
      <c r="G97" s="60" t="inlineStr">
        <is>
          <t>Terminado</t>
        </is>
      </c>
      <c r="H97" s="61">
        <f>IFERROR(INDEX(Config!$B$3:$B$8,MATCH($G97,Config!$A$3:$A$8,0)),0)</f>
        <v/>
      </c>
      <c r="I97" s="60">
        <f>IFERROR(INDEX(Config!$C$3:$C$8,MATCH($G97,Config!$A$3:$A$8,0)),0)</f>
        <v/>
      </c>
      <c r="J97" s="59" t="inlineStr">
        <is>
          <t>docs/fase-9/9.10-RENTABILIDAD.md. Ingreso menos creadores menos gasto, cada moneda por su lado. POR SOCIEDAD no: el ingreso de hoy es el declarado, no el facturado (9.9).</t>
        </is>
      </c>
    </row>
    <row r="98" ht="23.25" customHeight="1" s="36">
      <c r="A98" s="57" t="n">
        <v>97</v>
      </c>
      <c r="B98" s="57" t="inlineStr">
        <is>
          <t>Ola 1 - MVP: operar sin Excel</t>
        </is>
      </c>
      <c r="C98" s="57" t="inlineStr">
        <is>
          <t>F9</t>
        </is>
      </c>
      <c r="D98" s="57" t="inlineStr">
        <is>
          <t>Finanzas</t>
        </is>
      </c>
      <c r="E98" s="58" t="inlineStr">
        <is>
          <t>9.10a</t>
        </is>
      </c>
      <c r="F98" s="59" t="inlineStr">
        <is>
          <t>El gasto de una campana: capturar producto, envios, produccion</t>
        </is>
      </c>
      <c r="G98" s="60" t="inlineStr">
        <is>
          <t>Terminado</t>
        </is>
      </c>
      <c r="H98" s="61">
        <f>IFERROR(INDEX(Config!$B$3:$B$8,MATCH($G98,Config!$A$3:$A$8,0)),0)</f>
        <v/>
      </c>
      <c r="I98" s="60">
        <f>IFERROR(INDEX(Config!$C$3:$C$8,MATCH($G98,Config!$A$3:$A$8,0)),0)</f>
        <v/>
      </c>
      <c r="J98" s="59" t="inlineStr">
        <is>
          <t>FUERA DEL ALCANCE ORIGINAL, y sin ella 9.10 era un margen falso. campaign_costs llevaba desde la Fase 2 con CERO filas. Salio T-63 (el UPDATE estaba abierto) y T-64.</t>
        </is>
      </c>
    </row>
    <row r="99" ht="23.25" customHeight="1" s="36">
      <c r="A99" s="57" t="n">
        <v>98</v>
      </c>
      <c r="B99" s="57" t="inlineStr">
        <is>
          <t>Ola 1 - MVP: operar sin Excel</t>
        </is>
      </c>
      <c r="C99" s="57" t="inlineStr">
        <is>
          <t>F9</t>
        </is>
      </c>
      <c r="D99" s="57" t="inlineStr">
        <is>
          <t>Finanzas</t>
        </is>
      </c>
      <c r="E99" s="58" t="inlineStr">
        <is>
          <t>9.11</t>
        </is>
      </c>
      <c r="F99" s="59" t="inlineStr">
        <is>
          <t>Bloqueo de billing_legal_entity distinto de settlement_legal_entity en el MVP</t>
        </is>
      </c>
      <c r="G99" s="60" t="inlineStr">
        <is>
          <t>Terminado</t>
        </is>
      </c>
      <c r="H99" s="61">
        <f>IFERROR(INDEX(Config!$B$3:$B$8,MATCH($G99,Config!$A$3:$A$8,0)),0)</f>
        <v/>
      </c>
      <c r="I99" s="60">
        <f>IFERROR(INDEX(Config!$C$3:$C$8,MATCH($G99,Config!$A$3:$A$8,0)),0)</f>
        <v/>
      </c>
      <c r="J99" s="59" t="inlineStr">
        <is>
          <t>PAGADA EN 9.6. DEC-157 la adelanto: tg_pe_sociedad impone que la sociedad que paga sea la de la campana. Estaba en la posicion 11 de 14 y es una regla roja.</t>
        </is>
      </c>
    </row>
    <row r="100" ht="23.25" customHeight="1" s="36">
      <c r="A100" s="57" t="n">
        <v>99</v>
      </c>
      <c r="B100" s="57" t="inlineStr">
        <is>
          <t>Ola 1 - MVP: operar sin Excel</t>
        </is>
      </c>
      <c r="C100" s="57" t="inlineStr">
        <is>
          <t>F9</t>
        </is>
      </c>
      <c r="D100" s="57" t="inlineStr">
        <is>
          <t>Finanzas</t>
        </is>
      </c>
      <c r="E100" s="58" t="inlineStr">
        <is>
          <t>9.12</t>
        </is>
      </c>
      <c r="F100" s="59" t="inlineStr">
        <is>
          <t>Series y numeracion correlativa por entidad legal, con bloqueo y pruebas de concurrencia</t>
        </is>
      </c>
      <c r="G100" s="60" t="inlineStr">
        <is>
          <t>Terminado</t>
        </is>
      </c>
      <c r="H100" s="61">
        <f>IFERROR(INDEX(Config!$B$3:$B$8,MATCH($G100,Config!$A$3:$A$8,0)),0)</f>
        <v/>
      </c>
      <c r="I100" s="60">
        <f>IFERROR(INDEX(Config!$C$3:$C$8,MATCH($G100,Config!$A$3:$A$8,0)),0)</f>
        <v/>
      </c>
      <c r="J100" s="59" t="inlineStr">
        <is>
          <t>2026-08-31. Cierra BR-LE-007 (rojo) y DEC-021. document_series existia desde la Fase 2 y NUNCA la escribio nadie: forma correcta, ninguna mecanica. El numero se reserva bajo bloqueo de la fila de la serie y no con MAX()+1 (DEC-229), medido con dos conexiones de verdad y con su contraejemplo. Cada numero queda escrito con su estado: el hueco existe pero se explica (DEC-230). Los tipos de comprobante pasan a ser catalogo por pais (DEC-228); una serie por defecto por tipo y la forma la impone el pais (DEC-231); las series no se siembran y salen en rojo (DEC-232). 969 pruebas; 2164 aserciones SQL en MariaDB y 2154 en MySQL 8. La suite cazo dos reglas decorativas y destapo T-76. docs/fase-9/9.12-SERIES-Y-CORRELATIVOS.md</t>
        </is>
      </c>
    </row>
    <row r="101" ht="23.25" customHeight="1" s="36">
      <c r="A101" s="57" t="n">
        <v>100</v>
      </c>
      <c r="B101" s="57" t="inlineStr">
        <is>
          <t>Ola 1 - MVP: operar sin Excel</t>
        </is>
      </c>
      <c r="C101" s="57" t="inlineStr">
        <is>
          <t>F9</t>
        </is>
      </c>
      <c r="D101" s="57" t="inlineStr">
        <is>
          <t>Finanzas</t>
        </is>
      </c>
      <c r="E101" s="58" t="inlineStr">
        <is>
          <t>9.13</t>
        </is>
      </c>
      <c r="F101" s="59" t="inlineStr">
        <is>
          <t>Matriz de propositos obligatorios por pais + bloqueo de activacion sin cobertura</t>
        </is>
      </c>
      <c r="G101" s="60" t="inlineStr">
        <is>
          <t>Pendiente</t>
        </is>
      </c>
      <c r="H101" s="61">
        <f>IFERROR(INDEX(Config!$B$3:$B$8,MATCH($G101,Config!$A$3:$A$8,0)),0)</f>
        <v/>
      </c>
      <c r="I101" s="60">
        <f>IFERROR(INDEX(Config!$C$3:$C$8,MATCH($G101,Config!$A$3:$A$8,0)),0)</f>
        <v/>
      </c>
      <c r="J101" s="59" t="inlineStr">
        <is>
          <t>La matriz de propositos por pais pasa a ser CONFIGURACION (DEC-190), no una tabla quemada. Q-19 ya dio los valores de partida para Peru y Colombia.</t>
        </is>
      </c>
    </row>
    <row r="102" ht="34.5" customHeight="1" s="36">
      <c r="A102" s="57" t="n">
        <v>101</v>
      </c>
      <c r="B102" s="57" t="inlineStr">
        <is>
          <t>Ola 1 - MVP: operar sin Excel</t>
        </is>
      </c>
      <c r="C102" s="57" t="inlineStr">
        <is>
          <t>F9</t>
        </is>
      </c>
      <c r="D102" s="57" t="inlineStr">
        <is>
          <t>Finanzas</t>
        </is>
      </c>
      <c r="E102" s="58" t="inlineStr">
        <is>
          <t>9.14</t>
        </is>
      </c>
      <c r="F102" s="59" t="inlineStr">
        <is>
          <t>QA de fase + auditoria de seguridad especifica de finanzas</t>
        </is>
      </c>
      <c r="G102" s="60" t="inlineStr">
        <is>
          <t>Terminado</t>
        </is>
      </c>
      <c r="H102" s="61">
        <f>IFERROR(INDEX(Config!$B$3:$B$8,MATCH($G102,Config!$A$3:$A$8,0)),0)</f>
        <v/>
      </c>
      <c r="I102" s="60">
        <f>IFERROR(INDEX(Config!$C$3:$C$8,MATCH($G102,Config!$A$3:$A$8,0)),0)</f>
        <v/>
      </c>
      <c r="J102" s="59" t="inlineStr">
        <is>
          <t>docs/fase-9/9.14-QA-DE-FASE.md y 9.14b-AUDITORIA-DE-SEGURIDAD.md. De 317 reglas del esquema, 167 no habian contestado nunca; las 20 del dinero ya lo hacen. El muro: 145 rutas x 3 roles de fuera.</t>
        </is>
      </c>
    </row>
    <row r="103" ht="23.25" customHeight="1" s="36">
      <c r="A103" s="57" t="n">
        <v>102</v>
      </c>
      <c r="B103" s="57" t="inlineStr">
        <is>
          <t>Ola 1 - MVP: operar sin Excel</t>
        </is>
      </c>
      <c r="C103" s="57" t="inlineStr">
        <is>
          <t>F9</t>
        </is>
      </c>
      <c r="D103" s="57" t="inlineStr">
        <is>
          <t>Finanzas</t>
        </is>
      </c>
      <c r="E103" s="58" t="inlineStr">
        <is>
          <t>9.16</t>
        </is>
      </c>
      <c r="F103" s="59" t="inlineStr">
        <is>
          <t>Terminos editables desde el admin, con estado de revision legal</t>
        </is>
      </c>
      <c r="G103" s="60" t="inlineStr">
        <is>
          <t>Terminado</t>
        </is>
      </c>
      <c r="H103" s="61">
        <f>IFERROR(INDEX(Config!$B$3:$B$8,MATCH($G103,Config!$A$3:$A$8,0)),0)</f>
        <v/>
      </c>
      <c r="I103" s="60">
        <f>IFERROR(INDEX(Config!$C$3:$C$8,MATCH($G103,Config!$A$3:$A$8,0)),0)</f>
        <v/>
      </c>
      <c r="J103" s="59" t="inlineStr">
        <is>
          <t>FUERA DEL ALCANCE ORIGINAL, y corrige el criterio de 3.5. docs/fase-9/9.16-TERMINOS-EDITABLES.md. El sistema arranca con un texto base publicado que DICE que no esta revisado; borrador editable, publicada inmutable, y «cambio menor» que no obliga a reaceptar (DEC-190).</t>
        </is>
      </c>
    </row>
    <row r="104" ht="23.25" customHeight="1" s="36">
      <c r="A104" s="57" t="n">
        <v>103</v>
      </c>
      <c r="B104" s="57" t="inlineStr">
        <is>
          <t>Ola 1 - MVP: operar sin Excel</t>
        </is>
      </c>
      <c r="C104" s="57" t="inlineStr">
        <is>
          <t>F9</t>
        </is>
      </c>
      <c r="D104" s="57" t="inlineStr">
        <is>
          <t>Finanzas</t>
        </is>
      </c>
      <c r="E104" s="58" t="inlineStr">
        <is>
          <t>9.17</t>
        </is>
      </c>
      <c r="F104" s="59" t="inlineStr">
        <is>
          <t>La marca es un dato: nombre, lema, pie legal, logotipo, favicon, tres colores y tipografia configurables desde el admin</t>
        </is>
      </c>
      <c r="G104" s="60" t="inlineStr">
        <is>
          <t>Terminado</t>
        </is>
      </c>
      <c r="H104" s="61">
        <f>IFERROR(INDEX(Config!$B$3:$B$8,MATCH($G104,Config!$A$3:$A$8,0)),0)</f>
        <v/>
      </c>
      <c r="I104" s="60">
        <f>IFERROR(INDEX(Config!$C$3:$C$8,MATCH($G104,Config!$A$3:$A$8,0)),0)</f>
        <v/>
      </c>
      <c r="J104" s="59" t="inlineStr">
        <is>
          <t>2026-08-31. «LATAM Social» estaba escrito en tres plantillas y el favicon era un archivo del repositorio; platform_brands guardaba todo eso desde 2.10 y nadie la leia. Pantalla /marca con permiso propio brand.manage. Una sola marca por defecto (28.a columna puerta). Lo que falta no bloquea: badge rojo/ambar/verde (DEC-200). El logotipo se sirve por una puerta publica sin identificador porque la pantalla de acceso la ve quien no ha entrado (DEC-201). DEC-199 a DEC-204. 21 pruebas, 19 aserciones SQL en los dos motores. Salio T-72 --las clases de color no existian desde la Fase 4-- y un 403 que salia como 500. docs/fase-9/9.17-LA-MARCA-ES-UN-DATO.md</t>
        </is>
      </c>
    </row>
    <row r="105" ht="15" customHeight="1" s="36">
      <c r="A105" s="57" t="inlineStr">
        <is>
          <t>103b</t>
        </is>
      </c>
      <c r="B105" s="57" t="inlineStr">
        <is>
          <t>Ola 1 - MVP: operar sin Excel</t>
        </is>
      </c>
      <c r="C105" s="57" t="inlineStr">
        <is>
          <t>F9</t>
        </is>
      </c>
      <c r="D105" s="57" t="inlineStr">
        <is>
          <t>Finanzas</t>
        </is>
      </c>
      <c r="E105" s="58" t="inlineStr">
        <is>
          <t>9.17b</t>
        </is>
      </c>
      <c r="F105" s="59" t="inlineStr">
        <is>
          <t>Que falta por configurar, en una sola pantalla: cinco areas con badges de prioridad</t>
        </is>
      </c>
      <c r="G105" s="60" t="inlineStr">
        <is>
          <t>Terminado</t>
        </is>
      </c>
      <c r="H105" s="61">
        <f>IFERROR(INDEX(Config!$B$3:$B$8,MATCH($G105,Config!$A$3:$A$8,0)),0)</f>
        <v/>
      </c>
      <c r="I105" s="60">
        <f>IFERROR(INDEX(Config!$C$3:$C$8,MATCH($G105,Config!$A$3:$A$8,0)),0)</f>
        <v/>
      </c>
      <c r="J105" s="59" t="inlineStr">
        <is>
          <t>2026-08-31. 9.16 y 9.17 dejaron cada una su lista de avisos y cada una solo se veia entrando en su pantalla; el correo escribiendose en un archivo en vez de enviarse no lo decia ninguna. Preparacion (Shared) las junta y cada modulo declara su area desde su ServiceProvider. Si no puedes arreglarlo, no lo ves (DEC-206). Una comprobacion que revienta no tumba el panel (DEC-207). DEC-205 a DEC-208. 12 pruebas, sin migracion. docs/fase-9/9.17b-PANEL-DE-CONFIGURACION.md</t>
        </is>
      </c>
    </row>
    <row r="106" ht="15" customHeight="1" s="36">
      <c r="A106" s="57" t="inlineStr">
        <is>
          <t>103c</t>
        </is>
      </c>
      <c r="B106" s="57" t="inlineStr">
        <is>
          <t>Ola 1 - MVP: operar sin Excel</t>
        </is>
      </c>
      <c r="C106" s="57" t="inlineStr">
        <is>
          <t>F9</t>
        </is>
      </c>
      <c r="D106" s="57" t="inlineStr">
        <is>
          <t>Finanzas</t>
        </is>
      </c>
      <c r="E106" s="58" t="inlineStr">
        <is>
          <t>9.17c</t>
        </is>
      </c>
      <c r="F106" s="59" t="inlineStr">
        <is>
          <t>El domicilio fiscal, con la forma (ubigeo, DANE) que exige cada pais</t>
        </is>
      </c>
      <c r="G106" s="60" t="inlineStr">
        <is>
          <t>Terminado</t>
        </is>
      </c>
      <c r="H106" s="61">
        <f>IFERROR(INDEX(Config!$B$3:$B$8,MATCH($G106,Config!$A$3:$A$8,0)),0)</f>
        <v/>
      </c>
      <c r="I106" s="60">
        <f>IFERROR(INDEX(Config!$C$3:$C$8,MATCH($G106,Config!$A$3:$A$8,0)),0)</f>
        <v/>
      </c>
      <c r="J106" s="59" t="inlineStr">
        <is>
          <t>2026-08-31. El comprobante peruano lleva el ubigeo y legal_entities no tenia ni el distrito ni el codigo. No se llama ubigeo: la forma la declara el PAIS y la imponen dos disparadores cruzados, asi que el formulario pide «Ubigeo» a una peruana y «Codigo DANE» a una colombiana sin una linea de codigo por pais (DEC-209). El establecimiento nace en 0000 (DEC-210); que falte no bloquea, sale en rojo en el panel (DEC-211). Salio un 1267 de colacion que habria reventado cada alta con codigo, invisible mientras el campo viniera nulo. 10 pruebas, 19 aserciones SQL en los dos motores. docs/fase-9/9.17c-DOMICILIO-FISCAL.md</t>
        </is>
      </c>
    </row>
    <row r="107" ht="15" customHeight="1" s="36">
      <c r="A107" s="57" t="inlineStr">
        <is>
          <t>103d</t>
        </is>
      </c>
      <c r="B107" s="57" t="inlineStr">
        <is>
          <t>Ola 1 - MVP: operar sin Excel</t>
        </is>
      </c>
      <c r="C107" s="57" t="inlineStr">
        <is>
          <t>F9</t>
        </is>
      </c>
      <c r="D107" s="57" t="inlineStr">
        <is>
          <t>Finanzas</t>
        </is>
      </c>
      <c r="E107" s="58" t="inlineStr">
        <is>
          <t>9.17d</t>
        </is>
      </c>
      <c r="F107" s="59" t="inlineStr">
        <is>
          <t>Las credenciales de cada API en un solo sitio</t>
        </is>
      </c>
      <c r="G107" s="60" t="inlineStr">
        <is>
          <t>Terminado</t>
        </is>
      </c>
      <c r="H107" s="61">
        <f>IFERROR(INDEX(Config!$B$3:$B$8,MATCH($G107,Config!$A$3:$A$8,0)),0)</f>
        <v/>
      </c>
      <c r="I107" s="60">
        <f>IFERROR(INDEX(Config!$C$3:$C$8,MATCH($G107,Config!$A$3:$A$8,0)),0)</f>
        <v/>
      </c>
      <c r="J107" s="59" t="inlineStr">
        <is>
          <t>2026-08-31. Prerrequisito de 9.9. Tres tablas propias --proveedores, conexiones, credenciales-- porque una sociedad es QUIEN factura y una conexion es CON QUE se conecta uno (DEC-223). Las asignaciones de docs/12 NO se construyen: resuelven un problema que hoy no existe, y esta escrito donde (DEC-224). Rotar versiona, no pisa (DEC-225); la bitacora anota QUE cambio, nunca el valor (DEC-226); una conexion activa exige https (DEC-227). 953 pruebas; 2096 aserciones SQL en MariaDB y 2086 en MySQL 8. Destapo T-75. docs/fase-9/9.17d-CREDENCIALES-DE-API.md</t>
        </is>
      </c>
    </row>
    <row r="108" ht="15" customHeight="1" s="36">
      <c r="A108" s="57" t="n">
        <v>104</v>
      </c>
      <c r="B108" s="57" t="inlineStr">
        <is>
          <t>Ola 1 - MVP: operar sin Excel</t>
        </is>
      </c>
      <c r="C108" s="57" t="inlineStr">
        <is>
          <t>F9</t>
        </is>
      </c>
      <c r="D108" s="57" t="inlineStr">
        <is>
          <t>Finanzas</t>
        </is>
      </c>
      <c r="E108" s="58" t="inlineStr">
        <is>
          <t>9.18</t>
        </is>
      </c>
      <c r="F108" s="59" t="inlineStr">
        <is>
          <t>Se pacta lo que el creador recibe: retencion sobre el neto y umbral de rentabilidad</t>
        </is>
      </c>
      <c r="G108" s="60" t="inlineStr">
        <is>
          <t>Terminado</t>
        </is>
      </c>
      <c r="H108" s="61">
        <f>IFERROR(INDEX(Config!$B$3:$B$8,MATCH($G108,Config!$A$3:$A$8,0)),0)</f>
        <v/>
      </c>
      <c r="I108" s="60">
        <f>IFERROR(INDEX(Config!$C$3:$C$8,MATCH($G108,Config!$A$3:$A$8,0)),0)</f>
        <v/>
      </c>
      <c r="J108" s="59" t="inlineStr">
        <is>
          <t>2026-08-31. Se teclea 100 y la campana provisiona 141,8440; el mensaje dice que para dejar el 20 % el ingreso tendria que llegar a 170,21. Las tres cifras del ejemplo de Q-40. La politica (retencion, umbral y sobre que se calcula) vive en pricing_policies con vigencia e historia. La pregunta «markup o margen» NO habia que hacerla: es una columna configurable con las dos cifras a la vista (DEC-213). DEC-212 a DEC-215. 14 pruebas, 25 aserciones SQL en los dos motores. docs/fase-9/9.18-POLITICA-Y-NETO-PACTADO.md</t>
        </is>
      </c>
    </row>
    <row r="109" ht="15" customHeight="1" s="36">
      <c r="A109" s="57" t="n">
        <v>105</v>
      </c>
      <c r="B109" s="57" t="inlineStr">
        <is>
          <t>Ola 1 - MVP: operar sin Excel</t>
        </is>
      </c>
      <c r="C109" s="57" t="inlineStr">
        <is>
          <t>F9</t>
        </is>
      </c>
      <c r="D109" s="57" t="inlineStr">
        <is>
          <t>Finanzas</t>
        </is>
      </c>
      <c r="E109" s="58" t="inlineStr">
        <is>
          <t>9.19</t>
        </is>
      </c>
      <c r="F109" s="59" t="inlineStr">
        <is>
          <t>Los terminos nuevos hay que volver a aceptarlos: plazo, solo lectura y muro</t>
        </is>
      </c>
      <c r="G109" s="60" t="inlineStr">
        <is>
          <t>Terminado</t>
        </is>
      </c>
      <c r="H109" s="61">
        <f>IFERROR(INDEX(Config!$B$3:$B$8,MATCH($G109,Config!$A$3:$A$8,0)),0)</f>
        <v/>
      </c>
      <c r="I109" s="60">
        <f>IFERROR(INDEX(Config!$C$3:$C$8,MATCH($G109,Config!$A$3:$A$8,0)),0)</f>
        <v/>
      </c>
      <c r="J109" s="59" t="inlineStr">
        <is>
          <t>2026-08-31. Los tres escalones de Q-46: dentro del plazo se pasa con una franja; pasado el plazo se mira y no se toca (filtrado por metodo HTTP, cubre toda pantalla que exista o se anada); pasada la ventana, solo la pantalla de aceptar. Los plazos van en la VERSION y son inmutables (DEC-216). El reloj empieza cuando le toca a cada uno (DEC-217). La pantalla del muro no lleva permiso: es la unica salida (DEC-218). Y arregla T-73, reportado en produccion. DEC-216 a DEC-219. 16 pruebas, 11 aserciones SQL. docs/fase-9/9.19-REACEPTACION-DE-TERMINOS.md</t>
        </is>
      </c>
    </row>
    <row r="110" ht="15" customHeight="1" s="36">
      <c r="A110" s="57" t="inlineStr">
        <is>
          <t>105b</t>
        </is>
      </c>
      <c r="B110" s="57" t="inlineStr">
        <is>
          <t>Ola 1 - MVP: operar sin Excel</t>
        </is>
      </c>
      <c r="C110" s="57" t="inlineStr">
        <is>
          <t>F9</t>
        </is>
      </c>
      <c r="D110" s="57" t="inlineStr">
        <is>
          <t>Finanzas</t>
        </is>
      </c>
      <c r="E110" s="58" t="inlineStr">
        <is>
          <t>9.19b</t>
        </is>
      </c>
      <c r="F110" s="59" t="inlineStr">
        <is>
          <t>El aviso por correo de la reaceptacion, y la frontera Core/Creator</t>
        </is>
      </c>
      <c r="G110" s="60" t="inlineStr">
        <is>
          <t>Terminado</t>
        </is>
      </c>
      <c r="H110" s="61">
        <f>IFERROR(INDEX(Config!$B$3:$B$8,MATCH($G110,Config!$A$3:$A$8,0)),0)</f>
        <v/>
      </c>
      <c r="I110" s="60">
        <f>IFERROR(INDEX(Config!$C$3:$C$8,MATCH($G110,Config!$A$3:$A$8,0)),0)</f>
        <v/>
      </c>
      <c r="J110" s="59" t="inlineStr">
        <is>
          <t>2026-08-31. Al publicar una version DE FONDO sale un correo a cada creador activo, y el texto dice que pasa despues. Core levanta un evento y Creator escucha, asi que un SMTP caido no tumba la publicacion (DEC-220). Cada envio en su propio try (DEC-222). Y corrige T-74, que era mio: Terminos leia creators desde Core, la frontera rota que deptrac no ve. Hay una prueba que lee el codigo fuente porque no hay herramienta que lo cace. DEC-220 a DEC-222. 20 pruebas. Sin migracion. docs/fase-9/9.19b-EL-AVISO-POR-CORREO.md</t>
        </is>
      </c>
    </row>
    <row r="111" ht="15" customHeight="1" s="36">
      <c r="A111" s="57" t="n">
        <v>106</v>
      </c>
      <c r="B111" s="57" t="inlineStr">
        <is>
          <t>Ola 1 - MVP: operar sin Excel</t>
        </is>
      </c>
      <c r="C111" s="57" t="inlineStr">
        <is>
          <t>F9</t>
        </is>
      </c>
      <c r="D111" s="57" t="inlineStr">
        <is>
          <t>Finanzas</t>
        </is>
      </c>
      <c r="E111" s="58" t="inlineStr">
        <is>
          <t>9.14b</t>
        </is>
      </c>
      <c r="F111" s="59" t="inlineStr">
        <is>
          <t>Auditoria de seguridad: el muro de rutas</t>
        </is>
      </c>
      <c r="G111" s="60" t="inlineStr">
        <is>
          <t>Terminado</t>
        </is>
      </c>
      <c r="H111" s="61">
        <f>IFERROR(INDEX(Config!$B$3:$B$8,MATCH($G111,Config!$A$3:$A$8,0)),0)</f>
        <v/>
      </c>
      <c r="I111" s="60">
        <f>IFERROR(INDEX(Config!$C$3:$C$8,MATCH($G111,Config!$A$3:$A$8,0)),0)</f>
        <v/>
      </c>
      <c r="J111" s="59" t="inlineStr">
        <is>
          <t>FUERA DEL ALCANCE ORIGINAL como iteracion propia. 145 rutas x 3 roles de fuera, 371 aserciones. Cerro dos rutas del framework sobre el disco privado. Salio T-67.</t>
        </is>
      </c>
    </row>
    <row r="112" ht="15" customHeight="1" s="36">
      <c r="A112" s="57" t="n">
        <v>107</v>
      </c>
      <c r="B112" s="57" t="inlineStr">
        <is>
          <t>Ola 1 - MVP: operar sin Excel</t>
        </is>
      </c>
      <c r="C112" s="57" t="inlineStr">
        <is>
          <t>F9</t>
        </is>
      </c>
      <c r="D112" s="57" t="inlineStr">
        <is>
          <t>Finanzas</t>
        </is>
      </c>
      <c r="E112" s="58" t="inlineStr">
        <is>
          <t>9.15</t>
        </is>
      </c>
      <c r="F112" s="59" t="inlineStr">
        <is>
          <t>Que los archivos se puedan ver: una puerta con permiso por archivo</t>
        </is>
      </c>
      <c r="G112" s="60" t="inlineStr">
        <is>
          <t>Terminado</t>
        </is>
      </c>
      <c r="H112" s="61">
        <f>IFERROR(INDEX(Config!$B$3:$B$8,MATCH($G112,Config!$A$3:$A$8,0)),0)</f>
        <v/>
      </c>
      <c r="I112" s="60">
        <f>IFERROR(INDEX(Config!$C$3:$C$8,MATCH($G112,Config!$A$3:$A$8,0)),0)</f>
        <v/>
      </c>
      <c r="J112" s="59" t="inlineStr">
        <is>
          <t>FUERA DEL ALCANCE ORIGINAL. docs/fase-9/9.15-VER-UN-ARCHIVO.md. Cierra T-67. Se guardaban desde la Fase 3 y no los servia nadie. Cada modulo declara quien puede ver SUS archivos (DEC-197) y el permiso se mira en cada peticion (DEC-198). Desbloquea 9.17: un logotipo guardado hay que poder servirlo.</t>
        </is>
      </c>
    </row>
    <row r="113" ht="15" customHeight="1" s="36">
      <c r="A113" s="57" t="n">
        <v>109</v>
      </c>
      <c r="B113" s="57" t="inlineStr">
        <is>
          <t>Ola 1 - MVP: operar sin Excel</t>
        </is>
      </c>
      <c r="C113" s="57" t="inlineStr">
        <is>
          <t>F10</t>
        </is>
      </c>
      <c r="D113" s="57" t="inlineStr">
        <is>
          <t>Medicion y reportes</t>
        </is>
      </c>
      <c r="E113" s="58" t="inlineStr">
        <is>
          <t>10.1</t>
        </is>
      </c>
      <c r="F113" s="59" t="inlineStr">
        <is>
          <t>Snapshots de metricas por publicacion con fuente y timestamp</t>
        </is>
      </c>
      <c r="G113" s="60" t="inlineStr">
        <is>
          <t>Pendiente</t>
        </is>
      </c>
      <c r="H113" s="61">
        <f>IFERROR(INDEX(Config!$B$3:$B$8,MATCH($G113,Config!$A$3:$A$8,0)),0)</f>
        <v/>
      </c>
      <c r="I113" s="60">
        <f>IFERROR(INDEX(Config!$C$3:$C$8,MATCH($G113,Config!$A$3:$A$8,0)),0)</f>
        <v/>
      </c>
      <c r="J113" s="59" t="inlineStr">
        <is>
          <t>El patron ya existe para redes sociales (social_account_snapshots)</t>
        </is>
      </c>
    </row>
    <row r="114" ht="15" customHeight="1" s="36">
      <c r="A114" s="57" t="n">
        <v>110</v>
      </c>
      <c r="B114" s="57" t="inlineStr">
        <is>
          <t>Ola 1 - MVP: operar sin Excel</t>
        </is>
      </c>
      <c r="C114" s="57" t="inlineStr">
        <is>
          <t>F10</t>
        </is>
      </c>
      <c r="D114" s="57" t="inlineStr">
        <is>
          <t>Medicion y reportes</t>
        </is>
      </c>
      <c r="E114" s="58" t="inlineStr">
        <is>
          <t>10.2</t>
        </is>
      </c>
      <c r="F114" s="59" t="inlineStr">
        <is>
          <t>Captura asistida (creador declara + sube captura; operador valida)</t>
        </is>
      </c>
      <c r="G114" s="60" t="inlineStr">
        <is>
          <t>Pendiente</t>
        </is>
      </c>
      <c r="H114" s="61">
        <f>IFERROR(INDEX(Config!$B$3:$B$8,MATCH($G114,Config!$A$3:$A$8,0)),0)</f>
        <v/>
      </c>
      <c r="I114" s="60">
        <f>IFERROR(INDEX(Config!$C$3:$C$8,MATCH($G114,Config!$A$3:$A$8,0)),0)</f>
        <v/>
      </c>
      <c r="J114" s="59" t="n"/>
    </row>
    <row r="115" ht="15" customHeight="1" s="36">
      <c r="A115" s="57" t="n">
        <v>111</v>
      </c>
      <c r="B115" s="57" t="inlineStr">
        <is>
          <t>Ola 1 - MVP: operar sin Excel</t>
        </is>
      </c>
      <c r="C115" s="57" t="inlineStr">
        <is>
          <t>F10</t>
        </is>
      </c>
      <c r="D115" s="57" t="inlineStr">
        <is>
          <t>Medicion y reportes</t>
        </is>
      </c>
      <c r="E115" s="58" t="inlineStr">
        <is>
          <t>10.3</t>
        </is>
      </c>
      <c r="F115" s="59" t="inlineStr">
        <is>
          <t>Consolidacion por creador / plataforma / campana</t>
        </is>
      </c>
      <c r="G115" s="60" t="inlineStr">
        <is>
          <t>Pendiente</t>
        </is>
      </c>
      <c r="H115" s="61">
        <f>IFERROR(INDEX(Config!$B$3:$B$8,MATCH($G115,Config!$A$3:$A$8,0)),0)</f>
        <v/>
      </c>
      <c r="I115" s="60">
        <f>IFERROR(INDEX(Config!$C$3:$C$8,MATCH($G115,Config!$A$3:$A$8,0)),0)</f>
        <v/>
      </c>
      <c r="J115" s="59" t="n"/>
    </row>
    <row r="116" ht="15" customHeight="1" s="36">
      <c r="A116" s="57" t="n">
        <v>112</v>
      </c>
      <c r="B116" s="57" t="inlineStr">
        <is>
          <t>Ola 1 - MVP: operar sin Excel</t>
        </is>
      </c>
      <c r="C116" s="57" t="inlineStr">
        <is>
          <t>F10</t>
        </is>
      </c>
      <c r="D116" s="57" t="inlineStr">
        <is>
          <t>Medicion y reportes</t>
        </is>
      </c>
      <c r="E116" s="58" t="inlineStr">
        <is>
          <t>10.4</t>
        </is>
      </c>
      <c r="F116" s="59" t="inlineStr">
        <is>
          <t>Reporte de campana reproducible (fecha de corte fija)</t>
        </is>
      </c>
      <c r="G116" s="60" t="inlineStr">
        <is>
          <t>Pendiente</t>
        </is>
      </c>
      <c r="H116" s="61">
        <f>IFERROR(INDEX(Config!$B$3:$B$8,MATCH($G116,Config!$A$3:$A$8,0)),0)</f>
        <v/>
      </c>
      <c r="I116" s="60">
        <f>IFERROR(INDEX(Config!$C$3:$C$8,MATCH($G116,Config!$A$3:$A$8,0)),0)</f>
        <v/>
      </c>
      <c r="J116" s="59" t="n"/>
    </row>
    <row r="117" ht="15" customHeight="1" s="36">
      <c r="A117" s="57" t="n">
        <v>113</v>
      </c>
      <c r="B117" s="57" t="inlineStr">
        <is>
          <t>Ola 1 - MVP: operar sin Excel</t>
        </is>
      </c>
      <c r="C117" s="57" t="inlineStr">
        <is>
          <t>F10</t>
        </is>
      </c>
      <c r="D117" s="57" t="inlineStr">
        <is>
          <t>Medicion y reportes</t>
        </is>
      </c>
      <c r="E117" s="58" t="inlineStr">
        <is>
          <t>10.5</t>
        </is>
      </c>
      <c r="F117" s="59" t="inlineStr">
        <is>
          <t>Entrega del reporte al cliente por enlace firmado + exportacion PDF</t>
        </is>
      </c>
      <c r="G117" s="60" t="inlineStr">
        <is>
          <t>Pendiente</t>
        </is>
      </c>
      <c r="H117" s="61">
        <f>IFERROR(INDEX(Config!$B$3:$B$8,MATCH($G117,Config!$A$3:$A$8,0)),0)</f>
        <v/>
      </c>
      <c r="I117" s="60">
        <f>IFERROR(INDEX(Config!$C$3:$C$8,MATCH($G117,Config!$A$3:$A$8,0)),0)</f>
        <v/>
      </c>
      <c r="J117" s="59" t="n"/>
    </row>
    <row r="118" ht="15" customHeight="1" s="36">
      <c r="A118" s="57" t="n">
        <v>114</v>
      </c>
      <c r="B118" s="57" t="inlineStr">
        <is>
          <t>Ola 1 - MVP: operar sin Excel</t>
        </is>
      </c>
      <c r="C118" s="57" t="inlineStr">
        <is>
          <t>F10</t>
        </is>
      </c>
      <c r="D118" s="57" t="inlineStr">
        <is>
          <t>Medicion y reportes</t>
        </is>
      </c>
      <c r="E118" s="58" t="inlineStr">
        <is>
          <t>10.6</t>
        </is>
      </c>
      <c r="F118" s="59" t="inlineStr">
        <is>
          <t>Dashboards por rol (Superadmin, Ops, Campaign Mgr, Finance, Creator)</t>
        </is>
      </c>
      <c r="G118" s="60" t="inlineStr">
        <is>
          <t>Pendiente</t>
        </is>
      </c>
      <c r="H118" s="61">
        <f>IFERROR(INDEX(Config!$B$3:$B$8,MATCH($G118,Config!$A$3:$A$8,0)),0)</f>
        <v/>
      </c>
      <c r="I118" s="60">
        <f>IFERROR(INDEX(Config!$C$3:$C$8,MATCH($G118,Config!$A$3:$A$8,0)),0)</f>
        <v/>
      </c>
      <c r="J118" s="59" t="n"/>
    </row>
    <row r="119" ht="15" customHeight="1" s="36">
      <c r="A119" s="57" t="n">
        <v>115</v>
      </c>
      <c r="B119" s="57" t="inlineStr">
        <is>
          <t>Ola 1 - MVP: operar sin Excel</t>
        </is>
      </c>
      <c r="C119" s="57" t="inlineStr">
        <is>
          <t>F10</t>
        </is>
      </c>
      <c r="D119" s="57" t="inlineStr">
        <is>
          <t>Medicion y reportes</t>
        </is>
      </c>
      <c r="E119" s="58" t="inlineStr">
        <is>
          <t>10.7</t>
        </is>
      </c>
      <c r="F119" s="59" t="inlineStr">
        <is>
          <t>Exportaciones CSV/XLSX como job en cola</t>
        </is>
      </c>
      <c r="G119" s="60" t="inlineStr">
        <is>
          <t>Pendiente</t>
        </is>
      </c>
      <c r="H119" s="61">
        <f>IFERROR(INDEX(Config!$B$3:$B$8,MATCH($G119,Config!$A$3:$A$8,0)),0)</f>
        <v/>
      </c>
      <c r="I119" s="60">
        <f>IFERROR(INDEX(Config!$C$3:$C$8,MATCH($G119,Config!$A$3:$A$8,0)),0)</f>
        <v/>
      </c>
      <c r="J119" s="59" t="inlineStr">
        <is>
          <t>Depende de 4.8</t>
        </is>
      </c>
    </row>
    <row r="120" ht="15" customHeight="1" s="36">
      <c r="A120" s="57" t="n">
        <v>116</v>
      </c>
      <c r="B120" s="57" t="inlineStr">
        <is>
          <t>Ola 1 - MVP: operar sin Excel</t>
        </is>
      </c>
      <c r="C120" s="57" t="inlineStr">
        <is>
          <t>F10</t>
        </is>
      </c>
      <c r="D120" s="57" t="inlineStr">
        <is>
          <t>Medicion y reportes</t>
        </is>
      </c>
      <c r="E120" s="58" t="inlineStr">
        <is>
          <t>10.8</t>
        </is>
      </c>
      <c r="F120" s="59" t="inlineStr">
        <is>
          <t>Indicador de carga y capacidad del equipo</t>
        </is>
      </c>
      <c r="G120" s="60" t="inlineStr">
        <is>
          <t>Pendiente</t>
        </is>
      </c>
      <c r="H120" s="61">
        <f>IFERROR(INDEX(Config!$B$3:$B$8,MATCH($G120,Config!$A$3:$A$8,0)),0)</f>
        <v/>
      </c>
      <c r="I120" s="60">
        <f>IFERROR(INDEX(Config!$C$3:$C$8,MATCH($G120,Config!$A$3:$A$8,0)),0)</f>
        <v/>
      </c>
      <c r="J120" s="59" t="n"/>
    </row>
    <row r="121" ht="15" customHeight="1" s="36">
      <c r="A121" s="57" t="n">
        <v>117</v>
      </c>
      <c r="B121" s="57" t="inlineStr">
        <is>
          <t>Ola 1 - MVP: operar sin Excel</t>
        </is>
      </c>
      <c r="C121" s="57" t="inlineStr">
        <is>
          <t>F10</t>
        </is>
      </c>
      <c r="D121" s="57" t="inlineStr">
        <is>
          <t>Medicion y reportes</t>
        </is>
      </c>
      <c r="E121" s="58" t="inlineStr">
        <is>
          <t>10.9</t>
        </is>
      </c>
      <c r="F121" s="59" t="inlineStr">
        <is>
          <t>QA de fase + Phase Review Report. HITO: fin del MVP</t>
        </is>
      </c>
      <c r="G121" s="60" t="inlineStr">
        <is>
          <t>Pendiente</t>
        </is>
      </c>
      <c r="H121" s="61">
        <f>IFERROR(INDEX(Config!$B$3:$B$8,MATCH($G121,Config!$A$3:$A$8,0)),0)</f>
        <v/>
      </c>
      <c r="I121" s="60">
        <f>IFERROR(INDEX(Config!$C$3:$C$8,MATCH($G121,Config!$A$3:$A$8,0)),0)</f>
        <v/>
      </c>
      <c r="J121" s="59" t="n"/>
    </row>
    <row r="122" ht="15" customHeight="1" s="36">
      <c r="A122" s="57" t="n">
        <v>118</v>
      </c>
      <c r="B122" s="57" t="inlineStr">
        <is>
          <t>Ola 2 - Escalar comercialmente</t>
        </is>
      </c>
      <c r="C122" s="57" t="inlineStr">
        <is>
          <t>F11</t>
        </is>
      </c>
      <c r="D122" s="57" t="inlineStr">
        <is>
          <t>Adquisicion de marcas y CRM</t>
        </is>
      </c>
      <c r="E122" s="58" t="inlineStr">
        <is>
          <t>11.1</t>
        </is>
      </c>
      <c r="F122" s="59" t="inlineStr">
        <is>
          <t>Landing B2B</t>
        </is>
      </c>
      <c r="G122" s="60" t="inlineStr">
        <is>
          <t>Pendiente</t>
        </is>
      </c>
      <c r="H122" s="61">
        <f>IFERROR(INDEX(Config!$B$3:$B$8,MATCH($G122,Config!$A$3:$A$8,0)),0)</f>
        <v/>
      </c>
      <c r="I122" s="60">
        <f>IFERROR(INDEX(Config!$C$3:$C$8,MATCH($G122,Config!$A$3:$A$8,0)),0)</f>
        <v/>
      </c>
      <c r="J122" s="59" t="n"/>
    </row>
    <row r="123" ht="23.25" customHeight="1" s="36">
      <c r="A123" s="57" t="n">
        <v>119</v>
      </c>
      <c r="B123" s="57" t="inlineStr">
        <is>
          <t>Ola 2 - Escalar comercialmente</t>
        </is>
      </c>
      <c r="C123" s="57" t="inlineStr">
        <is>
          <t>F11</t>
        </is>
      </c>
      <c r="D123" s="57" t="inlineStr">
        <is>
          <t>Adquisicion de marcas y CRM</t>
        </is>
      </c>
      <c r="E123" s="58" t="inlineStr">
        <is>
          <t>11.2</t>
        </is>
      </c>
      <c r="F123" s="59" t="inlineStr">
        <is>
          <t>Formulario de lead + UTM + consentimiento</t>
        </is>
      </c>
      <c r="G123" s="60" t="inlineStr">
        <is>
          <t>Pendiente</t>
        </is>
      </c>
      <c r="H123" s="61">
        <f>IFERROR(INDEX(Config!$B$3:$B$8,MATCH($G123,Config!$A$3:$A$8,0)),0)</f>
        <v/>
      </c>
      <c r="I123" s="60">
        <f>IFERROR(INDEX(Config!$C$3:$C$8,MATCH($G123,Config!$A$3:$A$8,0)),0)</f>
        <v/>
      </c>
      <c r="J123" s="59" t="n"/>
    </row>
    <row r="124" ht="15" customHeight="1" s="36">
      <c r="A124" s="57" t="n">
        <v>120</v>
      </c>
      <c r="B124" s="57" t="inlineStr">
        <is>
          <t>Ola 2 - Escalar comercialmente</t>
        </is>
      </c>
      <c r="C124" s="57" t="inlineStr">
        <is>
          <t>F11</t>
        </is>
      </c>
      <c r="D124" s="57" t="inlineStr">
        <is>
          <t>Adquisicion de marcas y CRM</t>
        </is>
      </c>
      <c r="E124" s="58" t="inlineStr">
        <is>
          <t>11.3</t>
        </is>
      </c>
      <c r="F124" s="59" t="inlineStr">
        <is>
          <t>Lead, asignacion y SLA</t>
        </is>
      </c>
      <c r="G124" s="60" t="inlineStr">
        <is>
          <t>Pendiente</t>
        </is>
      </c>
      <c r="H124" s="61">
        <f>IFERROR(INDEX(Config!$B$3:$B$8,MATCH($G124,Config!$A$3:$A$8,0)),0)</f>
        <v/>
      </c>
      <c r="I124" s="60">
        <f>IFERROR(INDEX(Config!$C$3:$C$8,MATCH($G124,Config!$A$3:$A$8,0)),0)</f>
        <v/>
      </c>
      <c r="J124" s="59" t="n"/>
    </row>
    <row r="125" ht="15" customHeight="1" s="36">
      <c r="A125" s="57" t="n">
        <v>121</v>
      </c>
      <c r="B125" s="57" t="inlineStr">
        <is>
          <t>Ola 2 - Escalar comercialmente</t>
        </is>
      </c>
      <c r="C125" s="57" t="inlineStr">
        <is>
          <t>F11</t>
        </is>
      </c>
      <c r="D125" s="57" t="inlineStr">
        <is>
          <t>Adquisicion de marcas y CRM</t>
        </is>
      </c>
      <c r="E125" s="58" t="inlineStr">
        <is>
          <t>11.4</t>
        </is>
      </c>
      <c r="F125" s="59" t="inlineStr">
        <is>
          <t>Pipeline Kanban configurable</t>
        </is>
      </c>
      <c r="G125" s="60" t="inlineStr">
        <is>
          <t>Pendiente</t>
        </is>
      </c>
      <c r="H125" s="61">
        <f>IFERROR(INDEX(Config!$B$3:$B$8,MATCH($G125,Config!$A$3:$A$8,0)),0)</f>
        <v/>
      </c>
      <c r="I125" s="60">
        <f>IFERROR(INDEX(Config!$C$3:$C$8,MATCH($G125,Config!$A$3:$A$8,0)),0)</f>
        <v/>
      </c>
      <c r="J125" s="59" t="n"/>
    </row>
    <row r="126" ht="15" customHeight="1" s="36">
      <c r="A126" s="57" t="n">
        <v>122</v>
      </c>
      <c r="B126" s="57" t="inlineStr">
        <is>
          <t>Ola 2 - Escalar comercialmente</t>
        </is>
      </c>
      <c r="C126" s="57" t="inlineStr">
        <is>
          <t>F11</t>
        </is>
      </c>
      <c r="D126" s="57" t="inlineStr">
        <is>
          <t>Adquisicion de marcas y CRM</t>
        </is>
      </c>
      <c r="E126" s="58" t="inlineStr">
        <is>
          <t>11.5</t>
        </is>
      </c>
      <c r="F126" s="59" t="inlineStr">
        <is>
          <t>Actividades, notas, tareas y recordatorios</t>
        </is>
      </c>
      <c r="G126" s="60" t="inlineStr">
        <is>
          <t>Pendiente</t>
        </is>
      </c>
      <c r="H126" s="61">
        <f>IFERROR(INDEX(Config!$B$3:$B$8,MATCH($G126,Config!$A$3:$A$8,0)),0)</f>
        <v/>
      </c>
      <c r="I126" s="60">
        <f>IFERROR(INDEX(Config!$C$3:$C$8,MATCH($G126,Config!$A$3:$A$8,0)),0)</f>
        <v/>
      </c>
      <c r="J126" s="59" t="n"/>
    </row>
    <row r="127" ht="15" customHeight="1" s="36">
      <c r="A127" s="57" t="n">
        <v>123</v>
      </c>
      <c r="B127" s="57" t="inlineStr">
        <is>
          <t>Ola 2 - Escalar comercialmente</t>
        </is>
      </c>
      <c r="C127" s="57" t="inlineStr">
        <is>
          <t>F11</t>
        </is>
      </c>
      <c r="D127" s="57" t="inlineStr">
        <is>
          <t>Adquisicion de marcas y CRM</t>
        </is>
      </c>
      <c r="E127" s="58" t="inlineStr">
        <is>
          <t>11.6</t>
        </is>
      </c>
      <c r="F127" s="59" t="inlineStr">
        <is>
          <t>Conversion Lead -&gt; Cliente con trazabilidad</t>
        </is>
      </c>
      <c r="G127" s="60" t="inlineStr">
        <is>
          <t>Pendiente</t>
        </is>
      </c>
      <c r="H127" s="61">
        <f>IFERROR(INDEX(Config!$B$3:$B$8,MATCH($G127,Config!$A$3:$A$8,0)),0)</f>
        <v/>
      </c>
      <c r="I127" s="60">
        <f>IFERROR(INDEX(Config!$C$3:$C$8,MATCH($G127,Config!$A$3:$A$8,0)),0)</f>
        <v/>
      </c>
      <c r="J127" s="59" t="n"/>
    </row>
    <row r="128" ht="15" customHeight="1" s="36">
      <c r="A128" s="57" t="n">
        <v>124</v>
      </c>
      <c r="B128" s="57" t="inlineStr">
        <is>
          <t>Ola 2 - Escalar comercialmente</t>
        </is>
      </c>
      <c r="C128" s="57" t="inlineStr">
        <is>
          <t>F11</t>
        </is>
      </c>
      <c r="D128" s="57" t="inlineStr">
        <is>
          <t>Adquisicion de marcas y CRM</t>
        </is>
      </c>
      <c r="E128" s="58" t="inlineStr">
        <is>
          <t>11.7</t>
        </is>
      </c>
      <c r="F128" s="59" t="inlineStr">
        <is>
          <t>Organizaciones cliente, marcas y contactos</t>
        </is>
      </c>
      <c r="G128" s="60" t="inlineStr">
        <is>
          <t>Terminado</t>
        </is>
      </c>
      <c r="H128" s="61">
        <f>IFERROR(INDEX(Config!$B$3:$B$8,MATCH($G128,Config!$A$3:$A$8,0)),0)</f>
        <v/>
      </c>
      <c r="I128" s="60">
        <f>IFERROR(INDEX(Config!$C$3:$C$8,MATCH($G128,Config!$A$3:$A$8,0)),0)</f>
        <v/>
      </c>
      <c r="J128" s="59" t="inlineStr">
        <is>
          <t>Ya construido en 7.0 / docs/fase-4</t>
        </is>
      </c>
    </row>
    <row r="129" ht="15" customHeight="1" s="36">
      <c r="A129" s="57" t="n">
        <v>125</v>
      </c>
      <c r="B129" s="57" t="inlineStr">
        <is>
          <t>Ola 2 - Escalar comercialmente</t>
        </is>
      </c>
      <c r="C129" s="57" t="inlineStr">
        <is>
          <t>F11</t>
        </is>
      </c>
      <c r="D129" s="57" t="inlineStr">
        <is>
          <t>Adquisicion de marcas y CRM</t>
        </is>
      </c>
      <c r="E129" s="58" t="inlineStr">
        <is>
          <t>11.8</t>
        </is>
      </c>
      <c r="F129" s="59" t="inlineStr">
        <is>
          <t>Tags y segmentacion</t>
        </is>
      </c>
      <c r="G129" s="60" t="inlineStr">
        <is>
          <t>Pendiente</t>
        </is>
      </c>
      <c r="H129" s="61">
        <f>IFERROR(INDEX(Config!$B$3:$B$8,MATCH($G129,Config!$A$3:$A$8,0)),0)</f>
        <v/>
      </c>
      <c r="I129" s="60">
        <f>IFERROR(INDEX(Config!$C$3:$C$8,MATCH($G129,Config!$A$3:$A$8,0)),0)</f>
        <v/>
      </c>
      <c r="J129" s="59" t="n"/>
    </row>
    <row r="130" ht="15" customHeight="1" s="36">
      <c r="A130" s="57" t="n">
        <v>126</v>
      </c>
      <c r="B130" s="57" t="inlineStr">
        <is>
          <t>Ola 2 - Escalar comercialmente</t>
        </is>
      </c>
      <c r="C130" s="57" t="inlineStr">
        <is>
          <t>F11</t>
        </is>
      </c>
      <c r="D130" s="57" t="inlineStr">
        <is>
          <t>Adquisicion de marcas y CRM</t>
        </is>
      </c>
      <c r="E130" s="58" t="inlineStr">
        <is>
          <t>11.9</t>
        </is>
      </c>
      <c r="F130" s="59" t="inlineStr">
        <is>
          <t>QA de fase</t>
        </is>
      </c>
      <c r="G130" s="60" t="inlineStr">
        <is>
          <t>Pendiente</t>
        </is>
      </c>
      <c r="H130" s="61">
        <f>IFERROR(INDEX(Config!$B$3:$B$8,MATCH($G130,Config!$A$3:$A$8,0)),0)</f>
        <v/>
      </c>
      <c r="I130" s="60">
        <f>IFERROR(INDEX(Config!$C$3:$C$8,MATCH($G130,Config!$A$3:$A$8,0)),0)</f>
        <v/>
      </c>
      <c r="J130" s="59" t="n"/>
    </row>
    <row r="131" ht="15" customHeight="1" s="36">
      <c r="A131" s="57" t="n">
        <v>127</v>
      </c>
      <c r="B131" s="57" t="inlineStr">
        <is>
          <t>Ola 2 - Escalar comercialmente</t>
        </is>
      </c>
      <c r="C131" s="57" t="inlineStr">
        <is>
          <t>F12</t>
        </is>
      </c>
      <c r="D131" s="57" t="inlineStr">
        <is>
          <t>Integraciones</t>
        </is>
      </c>
      <c r="E131" s="58" t="inlineStr">
        <is>
          <t>12.1</t>
        </is>
      </c>
      <c r="F131" s="59" t="inlineStr">
        <is>
          <t>SMTP dedicado y entregabilidad (SPF/DKIM/DMARC), remitente por entidad legal</t>
        </is>
      </c>
      <c r="G131" s="60" t="inlineStr">
        <is>
          <t>Pendiente</t>
        </is>
      </c>
      <c r="H131" s="61">
        <f>IFERROR(INDEX(Config!$B$3:$B$8,MATCH($G131,Config!$A$3:$A$8,0)),0)</f>
        <v/>
      </c>
      <c r="I131" s="60">
        <f>IFERROR(INDEX(Config!$C$3:$C$8,MATCH($G131,Config!$A$3:$A$8,0)),0)</f>
        <v/>
      </c>
      <c r="J131" s="59" t="inlineStr">
        <is>
          <t>Depende de 4.6b y 4.9</t>
        </is>
      </c>
    </row>
    <row r="132" ht="15" customHeight="1" s="36">
      <c r="A132" s="57" t="n">
        <v>128</v>
      </c>
      <c r="B132" s="57" t="inlineStr">
        <is>
          <t>Ola 2 - Escalar comercialmente</t>
        </is>
      </c>
      <c r="C132" s="57" t="inlineStr">
        <is>
          <t>F12</t>
        </is>
      </c>
      <c r="D132" s="57" t="inlineStr">
        <is>
          <t>Integraciones</t>
        </is>
      </c>
      <c r="E132" s="58" t="inlineStr">
        <is>
          <t>12.2</t>
        </is>
      </c>
      <c r="F132" s="59" t="inlineStr">
        <is>
          <t>Adaptador de facturacion electronica + primer PSE peruano</t>
        </is>
      </c>
      <c r="G132" s="60" t="inlineStr">
        <is>
          <t>Pendiente</t>
        </is>
      </c>
      <c r="H132" s="61">
        <f>IFERROR(INDEX(Config!$B$3:$B$8,MATCH($G132,Config!$A$3:$A$8,0)),0)</f>
        <v/>
      </c>
      <c r="I132" s="60">
        <f>IFERROR(INDEX(Config!$C$3:$C$8,MATCH($G132,Config!$A$3:$A$8,0)),0)</f>
        <v/>
      </c>
      <c r="J132" s="59" t="inlineStr">
        <is>
          <t>Depende de 4.6b y de Q-34</t>
        </is>
      </c>
    </row>
    <row r="133" ht="15" customHeight="1" s="36">
      <c r="A133" s="57" t="n">
        <v>129</v>
      </c>
      <c r="B133" s="57" t="inlineStr">
        <is>
          <t>Ola 2 - Escalar comercialmente</t>
        </is>
      </c>
      <c r="C133" s="57" t="inlineStr">
        <is>
          <t>F12</t>
        </is>
      </c>
      <c r="D133" s="57" t="inlineStr">
        <is>
          <t>Integraciones</t>
        </is>
      </c>
      <c r="E133" s="58" t="inlineStr">
        <is>
          <t>12.3</t>
        </is>
      </c>
      <c r="F133" s="59" t="inlineStr">
        <is>
          <t>Notas de credito/debito</t>
        </is>
      </c>
      <c r="G133" s="60" t="inlineStr">
        <is>
          <t>Pendiente</t>
        </is>
      </c>
      <c r="H133" s="61">
        <f>IFERROR(INDEX(Config!$B$3:$B$8,MATCH($G133,Config!$A$3:$A$8,0)),0)</f>
        <v/>
      </c>
      <c r="I133" s="60">
        <f>IFERROR(INDEX(Config!$C$3:$C$8,MATCH($G133,Config!$A$3:$A$8,0)),0)</f>
        <v/>
      </c>
      <c r="J133" s="59" t="n"/>
    </row>
    <row r="134" ht="15" customHeight="1" s="36">
      <c r="A134" s="57" t="n">
        <v>130</v>
      </c>
      <c r="B134" s="57" t="inlineStr">
        <is>
          <t>Ola 2 - Escalar comercialmente</t>
        </is>
      </c>
      <c r="C134" s="57" t="inlineStr">
        <is>
          <t>F12</t>
        </is>
      </c>
      <c r="D134" s="57" t="inlineStr">
        <is>
          <t>Integraciones</t>
        </is>
      </c>
      <c r="E134" s="58" t="inlineStr">
        <is>
          <t>12.4</t>
        </is>
      </c>
      <c r="F134" s="59" t="inlineStr">
        <is>
          <t>Adaptador de tipo de cambio SUNAT con override auditado</t>
        </is>
      </c>
      <c r="G134" s="60" t="inlineStr">
        <is>
          <t>Pendiente</t>
        </is>
      </c>
      <c r="H134" s="61">
        <f>IFERROR(INDEX(Config!$B$3:$B$8,MATCH($G134,Config!$A$3:$A$8,0)),0)</f>
        <v/>
      </c>
      <c r="I134" s="60">
        <f>IFERROR(INDEX(Config!$C$3:$C$8,MATCH($G134,Config!$A$3:$A$8,0)),0)</f>
        <v/>
      </c>
      <c r="J134" s="59" t="n"/>
    </row>
    <row r="135" ht="15" customHeight="1" s="36">
      <c r="A135" s="57" t="n">
        <v>131</v>
      </c>
      <c r="B135" s="57" t="inlineStr">
        <is>
          <t>Ola 2 - Escalar comercialmente</t>
        </is>
      </c>
      <c r="C135" s="57" t="inlineStr">
        <is>
          <t>F12</t>
        </is>
      </c>
      <c r="D135" s="57" t="inlineStr">
        <is>
          <t>Integraciones</t>
        </is>
      </c>
      <c r="E135" s="58" t="inlineStr">
        <is>
          <t>12.5</t>
        </is>
      </c>
      <c r="F135" s="59" t="inlineStr">
        <is>
          <t>Infraestructura de webhooks: firma, idempotencia, reintentos, reproceso</t>
        </is>
      </c>
      <c r="G135" s="60" t="inlineStr">
        <is>
          <t>Pendiente</t>
        </is>
      </c>
      <c r="H135" s="61">
        <f>IFERROR(INDEX(Config!$B$3:$B$8,MATCH($G135,Config!$A$3:$A$8,0)),0)</f>
        <v/>
      </c>
      <c r="I135" s="60">
        <f>IFERROR(INDEX(Config!$C$3:$C$8,MATCH($G135,Config!$A$3:$A$8,0)),0)</f>
        <v/>
      </c>
      <c r="J135" s="59" t="inlineStr">
        <is>
          <t>DEC-031</t>
        </is>
      </c>
    </row>
    <row r="136" ht="15" customHeight="1" s="36">
      <c r="A136" s="57" t="n">
        <v>132</v>
      </c>
      <c r="B136" s="57" t="inlineStr">
        <is>
          <t>Ola 2 - Escalar comercialmente</t>
        </is>
      </c>
      <c r="C136" s="57" t="inlineStr">
        <is>
          <t>F12</t>
        </is>
      </c>
      <c r="D136" s="57" t="inlineStr">
        <is>
          <t>Integraciones</t>
        </is>
      </c>
      <c r="E136" s="58" t="inlineStr">
        <is>
          <t>12.6</t>
        </is>
      </c>
      <c r="F136" s="59" t="inlineStr">
        <is>
          <t>Pasarela de pago (solo si DEC-007 lo justifica)</t>
        </is>
      </c>
      <c r="G136" s="60" t="inlineStr">
        <is>
          <t>Pendiente</t>
        </is>
      </c>
      <c r="H136" s="61">
        <f>IFERROR(INDEX(Config!$B$3:$B$8,MATCH($G136,Config!$A$3:$A$8,0)),0)</f>
        <v/>
      </c>
      <c r="I136" s="60">
        <f>IFERROR(INDEX(Config!$C$3:$C$8,MATCH($G136,Config!$A$3:$A$8,0)),0)</f>
        <v/>
      </c>
      <c r="J136" s="59" t="inlineStr">
        <is>
          <t>Puede no hacer falta</t>
        </is>
      </c>
    </row>
    <row r="137" ht="15" customHeight="1" s="36">
      <c r="A137" s="57" t="n">
        <v>133</v>
      </c>
      <c r="B137" s="57" t="inlineStr">
        <is>
          <t>Ola 2 - Escalar comercialmente</t>
        </is>
      </c>
      <c r="C137" s="57" t="inlineStr">
        <is>
          <t>F12</t>
        </is>
      </c>
      <c r="D137" s="57" t="inlineStr">
        <is>
          <t>Integraciones</t>
        </is>
      </c>
      <c r="E137" s="58" t="inlineStr">
        <is>
          <t>12.7</t>
        </is>
      </c>
      <c r="F137" s="59" t="inlineStr">
        <is>
          <t>WhatsApp Business API para notificaciones</t>
        </is>
      </c>
      <c r="G137" s="60" t="inlineStr">
        <is>
          <t>Pendiente</t>
        </is>
      </c>
      <c r="H137" s="61">
        <f>IFERROR(INDEX(Config!$B$3:$B$8,MATCH($G137,Config!$A$3:$A$8,0)),0)</f>
        <v/>
      </c>
      <c r="I137" s="60">
        <f>IFERROR(INDEX(Config!$C$3:$C$8,MATCH($G137,Config!$A$3:$A$8,0)),0)</f>
        <v/>
      </c>
      <c r="J137" s="59" t="n"/>
    </row>
    <row r="138" ht="15" customHeight="1" s="36">
      <c r="A138" s="57" t="n">
        <v>134</v>
      </c>
      <c r="B138" s="57" t="inlineStr">
        <is>
          <t>Ola 2 - Escalar comercialmente</t>
        </is>
      </c>
      <c r="C138" s="57" t="inlineStr">
        <is>
          <t>F12</t>
        </is>
      </c>
      <c r="D138" s="57" t="inlineStr">
        <is>
          <t>Integraciones</t>
        </is>
      </c>
      <c r="E138" s="58" t="inlineStr">
        <is>
          <t>12.8</t>
        </is>
      </c>
      <c r="F138" s="59" t="inlineStr">
        <is>
          <t>Panel de salud de integraciones y simulador de resolucion</t>
        </is>
      </c>
      <c r="G138" s="60" t="inlineStr">
        <is>
          <t>Pendiente</t>
        </is>
      </c>
      <c r="H138" s="61">
        <f>IFERROR(INDEX(Config!$B$3:$B$8,MATCH($G138,Config!$A$3:$A$8,0)),0)</f>
        <v/>
      </c>
      <c r="I138" s="60">
        <f>IFERROR(INDEX(Config!$C$3:$C$8,MATCH($G138,Config!$A$3:$A$8,0)),0)</f>
        <v/>
      </c>
      <c r="J138" s="59" t="n"/>
    </row>
    <row r="139" ht="15" customHeight="1" s="36">
      <c r="A139" s="57" t="n">
        <v>135</v>
      </c>
      <c r="B139" s="57" t="inlineStr">
        <is>
          <t>Ola 2 - Escalar comercialmente</t>
        </is>
      </c>
      <c r="C139" s="57" t="inlineStr">
        <is>
          <t>F12</t>
        </is>
      </c>
      <c r="D139" s="57" t="inlineStr">
        <is>
          <t>Integraciones</t>
        </is>
      </c>
      <c r="E139" s="58" t="inlineStr">
        <is>
          <t>12.9</t>
        </is>
      </c>
      <c r="F139" s="59" t="inlineStr">
        <is>
          <t>QA de fase</t>
        </is>
      </c>
      <c r="G139" s="60" t="inlineStr">
        <is>
          <t>Pendiente</t>
        </is>
      </c>
      <c r="H139" s="61">
        <f>IFERROR(INDEX(Config!$B$3:$B$8,MATCH($G139,Config!$A$3:$A$8,0)),0)</f>
        <v/>
      </c>
      <c r="I139" s="60">
        <f>IFERROR(INDEX(Config!$C$3:$C$8,MATCH($G139,Config!$A$3:$A$8,0)),0)</f>
        <v/>
      </c>
      <c r="J139" s="59" t="n"/>
    </row>
    <row r="140" ht="15" customHeight="1" s="36">
      <c r="A140" s="57" t="n">
        <v>136</v>
      </c>
      <c r="B140" s="57" t="inlineStr">
        <is>
          <t>Ola 2 - Escalar comercialmente</t>
        </is>
      </c>
      <c r="C140" s="57" t="inlineStr">
        <is>
          <t>F13</t>
        </is>
      </c>
      <c r="D140" s="57" t="inlineStr">
        <is>
          <t>Portal de la marca</t>
        </is>
      </c>
      <c r="E140" s="58" t="inlineStr">
        <is>
          <t>13.1</t>
        </is>
      </c>
      <c r="F140" s="59" t="inlineStr">
        <is>
          <t>Invitacion y usuarios de cliente</t>
        </is>
      </c>
      <c r="G140" s="60" t="inlineStr">
        <is>
          <t>Pendiente</t>
        </is>
      </c>
      <c r="H140" s="61">
        <f>IFERROR(INDEX(Config!$B$3:$B$8,MATCH($G140,Config!$A$3:$A$8,0)),0)</f>
        <v/>
      </c>
      <c r="I140" s="60">
        <f>IFERROR(INDEX(Config!$C$3:$C$8,MATCH($G140,Config!$A$3:$A$8,0)),0)</f>
        <v/>
      </c>
      <c r="J140" s="59" t="n"/>
    </row>
    <row r="141" ht="15" customHeight="1" s="36">
      <c r="A141" s="57" t="n">
        <v>137</v>
      </c>
      <c r="B141" s="57" t="inlineStr">
        <is>
          <t>Ola 2 - Escalar comercialmente</t>
        </is>
      </c>
      <c r="C141" s="57" t="inlineStr">
        <is>
          <t>F13</t>
        </is>
      </c>
      <c r="D141" s="57" t="inlineStr">
        <is>
          <t>Portal de la marca</t>
        </is>
      </c>
      <c r="E141" s="58" t="inlineStr">
        <is>
          <t>13.2</t>
        </is>
      </c>
      <c r="F141" s="59" t="inlineStr">
        <is>
          <t>Dashboard de campana</t>
        </is>
      </c>
      <c r="G141" s="60" t="inlineStr">
        <is>
          <t>Pendiente</t>
        </is>
      </c>
      <c r="H141" s="61">
        <f>IFERROR(INDEX(Config!$B$3:$B$8,MATCH($G141,Config!$A$3:$A$8,0)),0)</f>
        <v/>
      </c>
      <c r="I141" s="60">
        <f>IFERROR(INDEX(Config!$C$3:$C$8,MATCH($G141,Config!$A$3:$A$8,0)),0)</f>
        <v/>
      </c>
      <c r="J141" s="59" t="n"/>
    </row>
    <row r="142" ht="15" customHeight="1" s="36">
      <c r="A142" s="57" t="n">
        <v>138</v>
      </c>
      <c r="B142" s="57" t="inlineStr">
        <is>
          <t>Ola 2 - Escalar comercialmente</t>
        </is>
      </c>
      <c r="C142" s="57" t="inlineStr">
        <is>
          <t>F13</t>
        </is>
      </c>
      <c r="D142" s="57" t="inlineStr">
        <is>
          <t>Portal de la marca</t>
        </is>
      </c>
      <c r="E142" s="58" t="inlineStr">
        <is>
          <t>13.3</t>
        </is>
      </c>
      <c r="F142" s="59" t="inlineStr">
        <is>
          <t>Aprobacion de brief y contenido dentro del portal</t>
        </is>
      </c>
      <c r="G142" s="60" t="inlineStr">
        <is>
          <t>Pendiente</t>
        </is>
      </c>
      <c r="H142" s="61">
        <f>IFERROR(INDEX(Config!$B$3:$B$8,MATCH($G142,Config!$A$3:$A$8,0)),0)</f>
        <v/>
      </c>
      <c r="I142" s="60">
        <f>IFERROR(INDEX(Config!$C$3:$C$8,MATCH($G142,Config!$A$3:$A$8,0)),0)</f>
        <v/>
      </c>
      <c r="J142" s="59" t="n"/>
    </row>
    <row r="143" ht="15" customHeight="1" s="36">
      <c r="A143" s="57" t="n">
        <v>139</v>
      </c>
      <c r="B143" s="57" t="inlineStr">
        <is>
          <t>Ola 2 - Escalar comercialmente</t>
        </is>
      </c>
      <c r="C143" s="57" t="inlineStr">
        <is>
          <t>F13</t>
        </is>
      </c>
      <c r="D143" s="57" t="inlineStr">
        <is>
          <t>Portal de la marca</t>
        </is>
      </c>
      <c r="E143" s="58" t="inlineStr">
        <is>
          <t>13.4</t>
        </is>
      </c>
      <c r="F143" s="59" t="inlineStr">
        <is>
          <t>Biblioteca de contenido aprobado con derechos y vigencia</t>
        </is>
      </c>
      <c r="G143" s="60" t="inlineStr">
        <is>
          <t>Pendiente</t>
        </is>
      </c>
      <c r="H143" s="61">
        <f>IFERROR(INDEX(Config!$B$3:$B$8,MATCH($G143,Config!$A$3:$A$8,0)),0)</f>
        <v/>
      </c>
      <c r="I143" s="60">
        <f>IFERROR(INDEX(Config!$C$3:$C$8,MATCH($G143,Config!$A$3:$A$8,0)),0)</f>
        <v/>
      </c>
      <c r="J143" s="59" t="n"/>
    </row>
    <row r="144" ht="15" customHeight="1" s="36">
      <c r="A144" s="57" t="n">
        <v>140</v>
      </c>
      <c r="B144" s="57" t="inlineStr">
        <is>
          <t>Ola 2 - Escalar comercialmente</t>
        </is>
      </c>
      <c r="C144" s="57" t="inlineStr">
        <is>
          <t>F13</t>
        </is>
      </c>
      <c r="D144" s="57" t="inlineStr">
        <is>
          <t>Portal de la marca</t>
        </is>
      </c>
      <c r="E144" s="58" t="inlineStr">
        <is>
          <t>13.5</t>
        </is>
      </c>
      <c r="F144" s="59" t="inlineStr">
        <is>
          <t>Reportes en vivo</t>
        </is>
      </c>
      <c r="G144" s="60" t="inlineStr">
        <is>
          <t>Pendiente</t>
        </is>
      </c>
      <c r="H144" s="61">
        <f>IFERROR(INDEX(Config!$B$3:$B$8,MATCH($G144,Config!$A$3:$A$8,0)),0)</f>
        <v/>
      </c>
      <c r="I144" s="60">
        <f>IFERROR(INDEX(Config!$C$3:$C$8,MATCH($G144,Config!$A$3:$A$8,0)),0)</f>
        <v/>
      </c>
      <c r="J144" s="59" t="n"/>
    </row>
    <row r="145" ht="23.25" customHeight="1" s="36">
      <c r="A145" s="57" t="n">
        <v>141</v>
      </c>
      <c r="B145" s="57" t="inlineStr">
        <is>
          <t>Ola 2 - Escalar comercialmente</t>
        </is>
      </c>
      <c r="C145" s="57" t="inlineStr">
        <is>
          <t>F13</t>
        </is>
      </c>
      <c r="D145" s="57" t="inlineStr">
        <is>
          <t>Portal de la marca</t>
        </is>
      </c>
      <c r="E145" s="58" t="inlineStr">
        <is>
          <t>13.6</t>
        </is>
      </c>
      <c r="F145" s="59" t="inlineStr">
        <is>
          <t>Facturas y estado de cuenta</t>
        </is>
      </c>
      <c r="G145" s="60" t="inlineStr">
        <is>
          <t>Pendiente</t>
        </is>
      </c>
      <c r="H145" s="61">
        <f>IFERROR(INDEX(Config!$B$3:$B$8,MATCH($G145,Config!$A$3:$A$8,0)),0)</f>
        <v/>
      </c>
      <c r="I145" s="60">
        <f>IFERROR(INDEX(Config!$C$3:$C$8,MATCH($G145,Config!$A$3:$A$8,0)),0)</f>
        <v/>
      </c>
      <c r="J145" s="59" t="n"/>
    </row>
    <row r="146" ht="15" customHeight="1" s="36">
      <c r="A146" s="57" t="n">
        <v>142</v>
      </c>
      <c r="B146" s="57" t="inlineStr">
        <is>
          <t>Ola 2 - Escalar comercialmente</t>
        </is>
      </c>
      <c r="C146" s="57" t="inlineStr">
        <is>
          <t>F13</t>
        </is>
      </c>
      <c r="D146" s="57" t="inlineStr">
        <is>
          <t>Portal de la marca</t>
        </is>
      </c>
      <c r="E146" s="58" t="inlineStr">
        <is>
          <t>13.7</t>
        </is>
      </c>
      <c r="F146" s="59" t="inlineStr">
        <is>
          <t>QA de fase</t>
        </is>
      </c>
      <c r="G146" s="60" t="inlineStr">
        <is>
          <t>Pendiente</t>
        </is>
      </c>
      <c r="H146" s="61">
        <f>IFERROR(INDEX(Config!$B$3:$B$8,MATCH($G146,Config!$A$3:$A$8,0)),0)</f>
        <v/>
      </c>
      <c r="I146" s="60">
        <f>IFERROR(INDEX(Config!$C$3:$C$8,MATCH($G146,Config!$A$3:$A$8,0)),0)</f>
        <v/>
      </c>
      <c r="J146" s="59" t="n"/>
    </row>
    <row r="147" ht="15" customHeight="1" s="36">
      <c r="A147" s="57" t="n">
        <v>143</v>
      </c>
      <c r="B147" s="57" t="inlineStr">
        <is>
          <t>Ola 2 - Escalar comercialmente</t>
        </is>
      </c>
      <c r="C147" s="57" t="inlineStr">
        <is>
          <t>F14</t>
        </is>
      </c>
      <c r="D147" s="57" t="inlineStr">
        <is>
          <t>Creator Intelligence</t>
        </is>
      </c>
      <c r="E147" s="58" t="inlineStr">
        <is>
          <t>14.1</t>
        </is>
      </c>
      <c r="F147" s="59" t="inlineStr">
        <is>
          <t>Evaluaciones post-campana (interna y de cliente)</t>
        </is>
      </c>
      <c r="G147" s="60" t="inlineStr">
        <is>
          <t>Pendiente</t>
        </is>
      </c>
      <c r="H147" s="61">
        <f>IFERROR(INDEX(Config!$B$3:$B$8,MATCH($G147,Config!$A$3:$A$8,0)),0)</f>
        <v/>
      </c>
      <c r="I147" s="60">
        <f>IFERROR(INDEX(Config!$C$3:$C$8,MATCH($G147,Config!$A$3:$A$8,0)),0)</f>
        <v/>
      </c>
      <c r="J147" s="59" t="n"/>
    </row>
    <row r="148" ht="23.25" customHeight="1" s="36">
      <c r="A148" s="57" t="n">
        <v>144</v>
      </c>
      <c r="B148" s="57" t="inlineStr">
        <is>
          <t>Ola 2 - Escalar comercialmente</t>
        </is>
      </c>
      <c r="C148" s="57" t="inlineStr">
        <is>
          <t>F14</t>
        </is>
      </c>
      <c r="D148" s="57" t="inlineStr">
        <is>
          <t>Creator Intelligence</t>
        </is>
      </c>
      <c r="E148" s="58" t="inlineStr">
        <is>
          <t>14.2</t>
        </is>
      </c>
      <c r="F148" s="59" t="inlineStr">
        <is>
          <t>Senales y metricas derivadas</t>
        </is>
      </c>
      <c r="G148" s="60" t="inlineStr">
        <is>
          <t>Pendiente</t>
        </is>
      </c>
      <c r="H148" s="61">
        <f>IFERROR(INDEX(Config!$B$3:$B$8,MATCH($G148,Config!$A$3:$A$8,0)),0)</f>
        <v/>
      </c>
      <c r="I148" s="60">
        <f>IFERROR(INDEX(Config!$C$3:$C$8,MATCH($G148,Config!$A$3:$A$8,0)),0)</f>
        <v/>
      </c>
      <c r="J148" s="59" t="n"/>
    </row>
    <row r="149" ht="15" customHeight="1" s="36">
      <c r="A149" s="57" t="n">
        <v>145</v>
      </c>
      <c r="B149" s="57" t="inlineStr">
        <is>
          <t>Ola 2 - Escalar comercialmente</t>
        </is>
      </c>
      <c r="C149" s="57" t="inlineStr">
        <is>
          <t>F14</t>
        </is>
      </c>
      <c r="D149" s="57" t="inlineStr">
        <is>
          <t>Creator Intelligence</t>
        </is>
      </c>
      <c r="E149" s="58" t="inlineStr">
        <is>
          <t>14.3</t>
        </is>
      </c>
      <c r="F149" s="59" t="inlineStr">
        <is>
          <t>Creator Score basado en reglas explicitas y auditables</t>
        </is>
      </c>
      <c r="G149" s="60" t="inlineStr">
        <is>
          <t>Pendiente</t>
        </is>
      </c>
      <c r="H149" s="61">
        <f>IFERROR(INDEX(Config!$B$3:$B$8,MATCH($G149,Config!$A$3:$A$8,0)),0)</f>
        <v/>
      </c>
      <c r="I149" s="60">
        <f>IFERROR(INDEX(Config!$C$3:$C$8,MATCH($G149,Config!$A$3:$A$8,0)),0)</f>
        <v/>
      </c>
      <c r="J149" s="59" t="inlineStr">
        <is>
          <t>Solo tiene sentido despues de F10: antes es un numero inventado</t>
        </is>
      </c>
    </row>
    <row r="150" ht="15" customHeight="1" s="36">
      <c r="A150" s="57" t="n">
        <v>146</v>
      </c>
      <c r="B150" s="57" t="inlineStr">
        <is>
          <t>Ola 2 - Escalar comercialmente</t>
        </is>
      </c>
      <c r="C150" s="57" t="inlineStr">
        <is>
          <t>F14</t>
        </is>
      </c>
      <c r="D150" s="57" t="inlineStr">
        <is>
          <t>Creator Intelligence</t>
        </is>
      </c>
      <c r="E150" s="58" t="inlineStr">
        <is>
          <t>14.4</t>
        </is>
      </c>
      <c r="F150" s="59" t="inlineStr">
        <is>
          <t>Score por plataforma/categoria/tipo de campana</t>
        </is>
      </c>
      <c r="G150" s="60" t="inlineStr">
        <is>
          <t>Pendiente</t>
        </is>
      </c>
      <c r="H150" s="61">
        <f>IFERROR(INDEX(Config!$B$3:$B$8,MATCH($G150,Config!$A$3:$A$8,0)),0)</f>
        <v/>
      </c>
      <c r="I150" s="60">
        <f>IFERROR(INDEX(Config!$C$3:$C$8,MATCH($G150,Config!$A$3:$A$8,0)),0)</f>
        <v/>
      </c>
      <c r="J150" s="59" t="n"/>
    </row>
    <row r="151" ht="15" customHeight="1" s="36">
      <c r="A151" s="57" t="n">
        <v>147</v>
      </c>
      <c r="B151" s="57" t="inlineStr">
        <is>
          <t>Ola 2 - Escalar comercialmente</t>
        </is>
      </c>
      <c r="C151" s="57" t="inlineStr">
        <is>
          <t>F14</t>
        </is>
      </c>
      <c r="D151" s="57" t="inlineStr">
        <is>
          <t>Creator Intelligence</t>
        </is>
      </c>
      <c r="E151" s="58" t="inlineStr">
        <is>
          <t>14.5</t>
        </is>
      </c>
      <c r="F151" s="59" t="inlineStr">
        <is>
          <t>Matching asistido con ranking y deteccion de conflictos de marca</t>
        </is>
      </c>
      <c r="G151" s="60" t="inlineStr">
        <is>
          <t>Pendiente</t>
        </is>
      </c>
      <c r="H151" s="61">
        <f>IFERROR(INDEX(Config!$B$3:$B$8,MATCH($G151,Config!$A$3:$A$8,0)),0)</f>
        <v/>
      </c>
      <c r="I151" s="60">
        <f>IFERROR(INDEX(Config!$C$3:$C$8,MATCH($G151,Config!$A$3:$A$8,0)),0)</f>
        <v/>
      </c>
      <c r="J151" s="59" t="n"/>
    </row>
    <row r="152" ht="15" customHeight="1" s="36">
      <c r="A152" s="57" t="n">
        <v>148</v>
      </c>
      <c r="B152" s="57" t="inlineStr">
        <is>
          <t>Ola 2 - Escalar comercialmente</t>
        </is>
      </c>
      <c r="C152" s="57" t="inlineStr">
        <is>
          <t>F14</t>
        </is>
      </c>
      <c r="D152" s="57" t="inlineStr">
        <is>
          <t>Creator Intelligence</t>
        </is>
      </c>
      <c r="E152" s="58" t="inlineStr">
        <is>
          <t>14.6</t>
        </is>
      </c>
      <c r="F152" s="59" t="inlineStr">
        <is>
          <t>Deteccion de anomalias de audiencia</t>
        </is>
      </c>
      <c r="G152" s="60" t="inlineStr">
        <is>
          <t>Pendiente</t>
        </is>
      </c>
      <c r="H152" s="61">
        <f>IFERROR(INDEX(Config!$B$3:$B$8,MATCH($G152,Config!$A$3:$A$8,0)),0)</f>
        <v/>
      </c>
      <c r="I152" s="60">
        <f>IFERROR(INDEX(Config!$C$3:$C$8,MATCH($G152,Config!$A$3:$A$8,0)),0)</f>
        <v/>
      </c>
      <c r="J152" s="59" t="n"/>
    </row>
    <row r="153" ht="15" customHeight="1" s="36">
      <c r="A153" s="57" t="n">
        <v>149</v>
      </c>
      <c r="B153" s="57" t="inlineStr">
        <is>
          <t>Ola 2 - Escalar comercialmente</t>
        </is>
      </c>
      <c r="C153" s="57" t="inlineStr">
        <is>
          <t>F14</t>
        </is>
      </c>
      <c r="D153" s="57" t="inlineStr">
        <is>
          <t>Creator Intelligence</t>
        </is>
      </c>
      <c r="E153" s="58" t="inlineStr">
        <is>
          <t>14.7</t>
        </is>
      </c>
      <c r="F153" s="59" t="inlineStr">
        <is>
          <t>Gamificacion: motor de reglas de XP, ledger append-only, niveles, panel y simulador</t>
        </is>
      </c>
      <c r="G153" s="60" t="inlineStr">
        <is>
          <t>Pendiente</t>
        </is>
      </c>
      <c r="H153" s="61">
        <f>IFERROR(INDEX(Config!$B$3:$B$8,MATCH($G153,Config!$A$3:$A$8,0)),0)</f>
        <v/>
      </c>
      <c r="I153" s="60">
        <f>IFERROR(INDEX(Config!$C$3:$C$8,MATCH($G153,Config!$A$3:$A$8,0)),0)</f>
        <v/>
      </c>
      <c r="J153" s="59" t="inlineStr">
        <is>
          <t>Q-23/Q-24/Q-25 respondidas (DEC-194): se premia con RECONOCIMIENTO y con un catalogo de premios canjeables por XP, configurable desde el admin. Nada de dinero. El hito que consolida un referido es la primera campana completada.</t>
        </is>
      </c>
    </row>
    <row r="154" ht="15" customHeight="1" s="36">
      <c r="A154" s="57" t="n">
        <v>150</v>
      </c>
      <c r="B154" s="57" t="inlineStr">
        <is>
          <t>Ola 2 - Escalar comercialmente</t>
        </is>
      </c>
      <c r="C154" s="57" t="inlineStr">
        <is>
          <t>F14</t>
        </is>
      </c>
      <c r="D154" s="57" t="inlineStr">
        <is>
          <t>Creator Intelligence</t>
        </is>
      </c>
      <c r="E154" s="58" t="inlineStr">
        <is>
          <t>14.8</t>
        </is>
      </c>
      <c r="F154" s="59" t="inlineStr">
        <is>
          <t>Insignias y Academia del creador</t>
        </is>
      </c>
      <c r="G154" s="60" t="inlineStr">
        <is>
          <t>Pendiente</t>
        </is>
      </c>
      <c r="H154" s="61">
        <f>IFERROR(INDEX(Config!$B$3:$B$8,MATCH($G154,Config!$A$3:$A$8,0)),0)</f>
        <v/>
      </c>
      <c r="I154" s="60">
        <f>IFERROR(INDEX(Config!$C$3:$C$8,MATCH($G154,Config!$A$3:$A$8,0)),0)</f>
        <v/>
      </c>
      <c r="J154" s="59" t="inlineStr">
        <is>
          <t>APROBADA (2026-08-30, DEC-196). La Academia del creador queda, y cada modulo es configurable desde el admin: orden, formato, evaluacion, intentos, XP e insignia. Al completar uno se levanta TrainingModuleCompleted, previsto desde la Fase 2. El CONTENIDO --guiones y video-- es trabajo aparte; se puede arrancar solo con texto.</t>
        </is>
      </c>
    </row>
    <row r="155" ht="15" customHeight="1" s="36">
      <c r="A155" s="57" t="n">
        <v>151</v>
      </c>
      <c r="B155" s="57" t="inlineStr">
        <is>
          <t>Ola 2 - Escalar comercialmente</t>
        </is>
      </c>
      <c r="C155" s="57" t="inlineStr">
        <is>
          <t>F14</t>
        </is>
      </c>
      <c r="D155" s="57" t="inlineStr">
        <is>
          <t>Creator Intelligence</t>
        </is>
      </c>
      <c r="E155" s="58" t="inlineStr">
        <is>
          <t>14.9</t>
        </is>
      </c>
      <c r="F155" s="59" t="inlineStr">
        <is>
          <t>QA de fase</t>
        </is>
      </c>
      <c r="G155" s="60" t="inlineStr">
        <is>
          <t>Pendiente</t>
        </is>
      </c>
      <c r="H155" s="61">
        <f>IFERROR(INDEX(Config!$B$3:$B$8,MATCH($G155,Config!$A$3:$A$8,0)),0)</f>
        <v/>
      </c>
      <c r="I155" s="60">
        <f>IFERROR(INDEX(Config!$C$3:$C$8,MATCH($G155,Config!$A$3:$A$8,0)),0)</f>
        <v/>
      </c>
      <c r="J155" s="59" t="n"/>
    </row>
    <row r="156" ht="15" customHeight="1" s="36">
      <c r="A156" s="57" t="n">
        <v>152</v>
      </c>
      <c r="B156" s="57" t="inlineStr">
        <is>
          <t>Ola 3 - Internacionalizar y endurecer</t>
        </is>
      </c>
      <c r="C156" s="57" t="inlineStr">
        <is>
          <t>F15</t>
        </is>
      </c>
      <c r="D156" s="57" t="inlineStr">
        <is>
          <t>Internacionalizacion real</t>
        </is>
      </c>
      <c r="E156" s="58" t="inlineStr">
        <is>
          <t>15.0</t>
        </is>
      </c>
      <c r="F156" s="59" t="inlineStr">
        <is>
          <t>Gamificacion avanzada: ligas, retos, referidos, recompensas y canjes auditados</t>
        </is>
      </c>
      <c r="G156" s="60" t="inlineStr">
        <is>
          <t>Pendiente</t>
        </is>
      </c>
      <c r="H156" s="61">
        <f>IFERROR(INDEX(Config!$B$3:$B$8,MATCH($G156,Config!$A$3:$A$8,0)),0)</f>
        <v/>
      </c>
      <c r="I156" s="60">
        <f>IFERROR(INDEX(Config!$C$3:$C$8,MATCH($G156,Config!$A$3:$A$8,0)),0)</f>
        <v/>
      </c>
      <c r="J156" s="59" t="inlineStr">
        <is>
          <t>Requiere validacion legal previa (Q-24)</t>
        </is>
      </c>
    </row>
    <row r="157" ht="15" customHeight="1" s="36">
      <c r="A157" s="57" t="n">
        <v>153</v>
      </c>
      <c r="B157" s="57" t="inlineStr">
        <is>
          <t>Ola 3 - Internacionalizar y endurecer</t>
        </is>
      </c>
      <c r="C157" s="57" t="inlineStr">
        <is>
          <t>F15</t>
        </is>
      </c>
      <c r="D157" s="57" t="inlineStr">
        <is>
          <t>Internacionalizacion real</t>
        </is>
      </c>
      <c r="E157" s="58" t="inlineStr">
        <is>
          <t>15.1</t>
        </is>
      </c>
      <c r="F157" s="59" t="inlineStr">
        <is>
          <t>Traduccion de UI y correos (en-US, pt-BR)</t>
        </is>
      </c>
      <c r="G157" s="60" t="inlineStr">
        <is>
          <t>Pendiente</t>
        </is>
      </c>
      <c r="H157" s="61">
        <f>IFERROR(INDEX(Config!$B$3:$B$8,MATCH($G157,Config!$A$3:$A$8,0)),0)</f>
        <v/>
      </c>
      <c r="I157" s="60">
        <f>IFERROR(INDEX(Config!$C$3:$C$8,MATCH($G157,Config!$A$3:$A$8,0)),0)</f>
        <v/>
      </c>
      <c r="J157" s="59" t="n"/>
    </row>
    <row r="158" ht="15" customHeight="1" s="36">
      <c r="A158" s="57" t="n">
        <v>154</v>
      </c>
      <c r="B158" s="57" t="inlineStr">
        <is>
          <t>Ola 3 - Internacionalizar y endurecer</t>
        </is>
      </c>
      <c r="C158" s="57" t="inlineStr">
        <is>
          <t>F15</t>
        </is>
      </c>
      <c r="D158" s="57" t="inlineStr">
        <is>
          <t>Internacionalizacion real</t>
        </is>
      </c>
      <c r="E158" s="58" t="inlineStr">
        <is>
          <t>15.2</t>
        </is>
      </c>
      <c r="F158" s="59" t="inlineStr">
        <is>
          <t>Esquemas fiscales por pais (documentos, retenciones, comprobantes)</t>
        </is>
      </c>
      <c r="G158" s="60" t="inlineStr">
        <is>
          <t>Pendiente</t>
        </is>
      </c>
      <c r="H158" s="61">
        <f>IFERROR(INDEX(Config!$B$3:$B$8,MATCH($G158,Config!$A$3:$A$8,0)),0)</f>
        <v/>
      </c>
      <c r="I158" s="60">
        <f>IFERROR(INDEX(Config!$C$3:$C$8,MATCH($G158,Config!$A$3:$A$8,0)),0)</f>
        <v/>
      </c>
      <c r="J158" s="59" t="n"/>
    </row>
    <row r="159" ht="15" customHeight="1" s="36">
      <c r="A159" s="57" t="n">
        <v>155</v>
      </c>
      <c r="B159" s="57" t="inlineStr">
        <is>
          <t>Ola 3 - Internacionalizar y endurecer</t>
        </is>
      </c>
      <c r="C159" s="57" t="inlineStr">
        <is>
          <t>F15</t>
        </is>
      </c>
      <c r="D159" s="57" t="inlineStr">
        <is>
          <t>Internacionalizacion real</t>
        </is>
      </c>
      <c r="E159" s="58" t="inlineStr">
        <is>
          <t>15.3</t>
        </is>
      </c>
      <c r="F159" s="59" t="inlineStr">
        <is>
          <t>Proveedores de facturacion por pais</t>
        </is>
      </c>
      <c r="G159" s="60" t="inlineStr">
        <is>
          <t>Pendiente</t>
        </is>
      </c>
      <c r="H159" s="61">
        <f>IFERROR(INDEX(Config!$B$3:$B$8,MATCH($G159,Config!$A$3:$A$8,0)),0)</f>
        <v/>
      </c>
      <c r="I159" s="60">
        <f>IFERROR(INDEX(Config!$C$3:$C$8,MATCH($G159,Config!$A$3:$A$8,0)),0)</f>
        <v/>
      </c>
      <c r="J159" s="59" t="n"/>
    </row>
    <row r="160" ht="15" customHeight="1" s="36">
      <c r="A160" s="57" t="n">
        <v>156</v>
      </c>
      <c r="B160" s="57" t="inlineStr">
        <is>
          <t>Ola 3 - Internacionalizar y endurecer</t>
        </is>
      </c>
      <c r="C160" s="57" t="inlineStr">
        <is>
          <t>F15</t>
        </is>
      </c>
      <c r="D160" s="57" t="inlineStr">
        <is>
          <t>Internacionalizacion real</t>
        </is>
      </c>
      <c r="E160" s="58" t="inlineStr">
        <is>
          <t>15.4</t>
        </is>
      </c>
      <c r="F160" s="59" t="inlineStr">
        <is>
          <t>Medios de pago por pais</t>
        </is>
      </c>
      <c r="G160" s="60" t="inlineStr">
        <is>
          <t>Pendiente</t>
        </is>
      </c>
      <c r="H160" s="61">
        <f>IFERROR(INDEX(Config!$B$3:$B$8,MATCH($G160,Config!$A$3:$A$8,0)),0)</f>
        <v/>
      </c>
      <c r="I160" s="60">
        <f>IFERROR(INDEX(Config!$C$3:$C$8,MATCH($G160,Config!$A$3:$A$8,0)),0)</f>
        <v/>
      </c>
      <c r="J160" s="59" t="n"/>
    </row>
    <row r="161" ht="15" customHeight="1" s="36">
      <c r="A161" s="57" t="n">
        <v>157</v>
      </c>
      <c r="B161" s="57" t="inlineStr">
        <is>
          <t>Ola 3 - Internacionalizar y endurecer</t>
        </is>
      </c>
      <c r="C161" s="57" t="inlineStr">
        <is>
          <t>F15</t>
        </is>
      </c>
      <c r="D161" s="57" t="inlineStr">
        <is>
          <t>Internacionalizacion real</t>
        </is>
      </c>
      <c r="E161" s="58" t="inlineStr">
        <is>
          <t>15.5</t>
        </is>
      </c>
      <c r="F161" s="59" t="inlineStr">
        <is>
          <t>Zonas horarias en operacion multipais</t>
        </is>
      </c>
      <c r="G161" s="60" t="inlineStr">
        <is>
          <t>Pendiente</t>
        </is>
      </c>
      <c r="H161" s="61">
        <f>IFERROR(INDEX(Config!$B$3:$B$8,MATCH($G161,Config!$A$3:$A$8,0)),0)</f>
        <v/>
      </c>
      <c r="I161" s="60">
        <f>IFERROR(INDEX(Config!$C$3:$C$8,MATCH($G161,Config!$A$3:$A$8,0)),0)</f>
        <v/>
      </c>
      <c r="J161" s="59" t="n"/>
    </row>
    <row r="162" ht="15" customHeight="1" s="36">
      <c r="A162" s="57" t="n">
        <v>158</v>
      </c>
      <c r="B162" s="57" t="inlineStr">
        <is>
          <t>Ola 3 - Internacionalizar y endurecer</t>
        </is>
      </c>
      <c r="C162" s="57" t="inlineStr">
        <is>
          <t>F15</t>
        </is>
      </c>
      <c r="D162" s="57" t="inlineStr">
        <is>
          <t>Internacionalizacion real</t>
        </is>
      </c>
      <c r="E162" s="58" t="inlineStr">
        <is>
          <t>15.6</t>
        </is>
      </c>
      <c r="F162" s="59" t="inlineStr">
        <is>
          <t>Cumplimiento de privacidad por jurisdiccion y responsable del tratamiento</t>
        </is>
      </c>
      <c r="G162" s="60" t="inlineStr">
        <is>
          <t>Pendiente</t>
        </is>
      </c>
      <c r="H162" s="61">
        <f>IFERROR(INDEX(Config!$B$3:$B$8,MATCH($G162,Config!$A$3:$A$8,0)),0)</f>
        <v/>
      </c>
      <c r="I162" s="60">
        <f>IFERROR(INDEX(Config!$C$3:$C$8,MATCH($G162,Config!$A$3:$A$8,0)),0)</f>
        <v/>
      </c>
      <c r="J162" s="59" t="n"/>
    </row>
    <row r="163" ht="15" customHeight="1" s="36">
      <c r="A163" s="57" t="n">
        <v>159</v>
      </c>
      <c r="B163" s="57" t="inlineStr">
        <is>
          <t>Ola 3 - Internacionalizar y endurecer</t>
        </is>
      </c>
      <c r="C163" s="57" t="inlineStr">
        <is>
          <t>F15</t>
        </is>
      </c>
      <c r="D163" s="57" t="inlineStr">
        <is>
          <t>Internacionalizacion real</t>
        </is>
      </c>
      <c r="E163" s="58" t="inlineStr">
        <is>
          <t>15.7</t>
        </is>
      </c>
      <c r="F163" s="59" t="inlineStr">
        <is>
          <t>QA de fase</t>
        </is>
      </c>
      <c r="G163" s="60" t="inlineStr">
        <is>
          <t>Pendiente</t>
        </is>
      </c>
      <c r="H163" s="61">
        <f>IFERROR(INDEX(Config!$B$3:$B$8,MATCH($G163,Config!$A$3:$A$8,0)),0)</f>
        <v/>
      </c>
      <c r="I163" s="60">
        <f>IFERROR(INDEX(Config!$C$3:$C$8,MATCH($G163,Config!$A$3:$A$8,0)),0)</f>
        <v/>
      </c>
      <c r="J163" s="59" t="n"/>
    </row>
    <row r="164" ht="15" customHeight="1" s="36">
      <c r="A164" s="57" t="n">
        <v>160</v>
      </c>
      <c r="B164" s="57" t="inlineStr">
        <is>
          <t>Ola 3 - Internacionalizar y endurecer</t>
        </is>
      </c>
      <c r="C164" s="57" t="inlineStr">
        <is>
          <t>F15</t>
        </is>
      </c>
      <c r="D164" s="57" t="inlineStr">
        <is>
          <t>Internacionalizacion real</t>
        </is>
      </c>
      <c r="E164" s="58" t="inlineStr">
        <is>
          <t>15.8</t>
        </is>
      </c>
      <c r="F164" s="59" t="inlineStr">
        <is>
          <t>Alta de una nueva entidad legal: lista de verificacion operativa</t>
        </is>
      </c>
      <c r="G164" s="60" t="inlineStr">
        <is>
          <t>Pendiente</t>
        </is>
      </c>
      <c r="H164" s="61">
        <f>IFERROR(INDEX(Config!$B$3:$B$8,MATCH($G164,Config!$A$3:$A$8,0)),0)</f>
        <v/>
      </c>
      <c r="I164" s="60">
        <f>IFERROR(INDEX(Config!$C$3:$C$8,MATCH($G164,Config!$A$3:$A$8,0)),0)</f>
        <v/>
      </c>
      <c r="J164" s="59" t="inlineStr">
        <is>
          <t>El modelo ya lo soporta desde 4.5b; falta el procedimiento</t>
        </is>
      </c>
    </row>
    <row r="165" ht="15" customHeight="1" s="36">
      <c r="A165" s="57" t="n">
        <v>161</v>
      </c>
      <c r="B165" s="57" t="inlineStr">
        <is>
          <t>Ola 3 - Internacionalizar y endurecer</t>
        </is>
      </c>
      <c r="C165" s="57" t="inlineStr">
        <is>
          <t>F16</t>
        </is>
      </c>
      <c r="D165" s="57" t="inlineStr">
        <is>
          <t>Hardening</t>
        </is>
      </c>
      <c r="E165" s="58" t="inlineStr">
        <is>
          <t>16.1</t>
        </is>
      </c>
      <c r="F165" s="59" t="inlineStr">
        <is>
          <t>Revision OWASP completa</t>
        </is>
      </c>
      <c r="G165" s="60" t="inlineStr">
        <is>
          <t>Pendiente</t>
        </is>
      </c>
      <c r="H165" s="61">
        <f>IFERROR(INDEX(Config!$B$3:$B$8,MATCH($G165,Config!$A$3:$A$8,0)),0)</f>
        <v/>
      </c>
      <c r="I165" s="60">
        <f>IFERROR(INDEX(Config!$C$3:$C$8,MATCH($G165,Config!$A$3:$A$8,0)),0)</f>
        <v/>
      </c>
      <c r="J165" s="59" t="n"/>
    </row>
    <row r="166" ht="15" customHeight="1" s="36">
      <c r="A166" s="57" t="n">
        <v>162</v>
      </c>
      <c r="B166" s="57" t="inlineStr">
        <is>
          <t>Ola 3 - Internacionalizar y endurecer</t>
        </is>
      </c>
      <c r="C166" s="57" t="inlineStr">
        <is>
          <t>F16</t>
        </is>
      </c>
      <c r="D166" s="57" t="inlineStr">
        <is>
          <t>Hardening</t>
        </is>
      </c>
      <c r="E166" s="58" t="inlineStr">
        <is>
          <t>16.2</t>
        </is>
      </c>
      <c r="F166" s="59" t="inlineStr">
        <is>
          <t>Pruebas de penetracion</t>
        </is>
      </c>
      <c r="G166" s="60" t="inlineStr">
        <is>
          <t>Pendiente</t>
        </is>
      </c>
      <c r="H166" s="61">
        <f>IFERROR(INDEX(Config!$B$3:$B$8,MATCH($G166,Config!$A$3:$A$8,0)),0)</f>
        <v/>
      </c>
      <c r="I166" s="60">
        <f>IFERROR(INDEX(Config!$C$3:$C$8,MATCH($G166,Config!$A$3:$A$8,0)),0)</f>
        <v/>
      </c>
      <c r="J166" s="59" t="n"/>
    </row>
    <row r="167" ht="15" customHeight="1" s="36">
      <c r="A167" s="57" t="n">
        <v>163</v>
      </c>
      <c r="B167" s="57" t="inlineStr">
        <is>
          <t>Ola 3 - Internacionalizar y endurecer</t>
        </is>
      </c>
      <c r="C167" s="57" t="inlineStr">
        <is>
          <t>F16</t>
        </is>
      </c>
      <c r="D167" s="57" t="inlineStr">
        <is>
          <t>Hardening</t>
        </is>
      </c>
      <c r="E167" s="58" t="inlineStr">
        <is>
          <t>16.3</t>
        </is>
      </c>
      <c r="F167" s="59" t="inlineStr">
        <is>
          <t>Pruebas de carga y perfilado de consultas</t>
        </is>
      </c>
      <c r="G167" s="60" t="inlineStr">
        <is>
          <t>Pendiente</t>
        </is>
      </c>
      <c r="H167" s="61">
        <f>IFERROR(INDEX(Config!$B$3:$B$8,MATCH($G167,Config!$A$3:$A$8,0)),0)</f>
        <v/>
      </c>
      <c r="I167" s="60">
        <f>IFERROR(INDEX(Config!$C$3:$C$8,MATCH($G167,Config!$A$3:$A$8,0)),0)</f>
        <v/>
      </c>
      <c r="J167" s="59" t="n"/>
    </row>
    <row r="168" ht="15" customHeight="1" s="36">
      <c r="A168" s="57" t="n">
        <v>164</v>
      </c>
      <c r="B168" s="35" t="inlineStr">
        <is>
          <t>Ola 3 - Internacionalizar y endurecer</t>
        </is>
      </c>
      <c r="C168" s="35" t="inlineStr">
        <is>
          <t>F16</t>
        </is>
      </c>
      <c r="D168" s="35" t="inlineStr">
        <is>
          <t>Hardening</t>
        </is>
      </c>
      <c r="E168" s="35" t="inlineStr">
        <is>
          <t>16.4</t>
        </is>
      </c>
      <c r="F168" s="35" t="inlineStr">
        <is>
          <t>Indices y archivado bajo volumen real</t>
        </is>
      </c>
      <c r="G168" s="35" t="inlineStr">
        <is>
          <t>Pendiente</t>
        </is>
      </c>
      <c r="H168" s="62">
        <f>IFERROR(INDEX(Config!$B$3:$B$8,MATCH($G168,Config!$A$3:$A$8,0)),0)</f>
        <v/>
      </c>
      <c r="I168" s="35">
        <f>IFERROR(INDEX(Config!$C$3:$C$8,MATCH($G168,Config!$A$3:$A$8,0)),0)</f>
        <v/>
      </c>
      <c r="J168" s="35" t="inlineStr">
        <is>
          <t>Recoge la iteracion 2.10, aplazada a proposito</t>
        </is>
      </c>
    </row>
    <row r="169" ht="15" customHeight="1" s="36">
      <c r="A169" s="57" t="n">
        <v>165</v>
      </c>
      <c r="B169" s="35" t="inlineStr">
        <is>
          <t>Ola 3 - Internacionalizar y endurecer</t>
        </is>
      </c>
      <c r="C169" s="35" t="inlineStr">
        <is>
          <t>F16</t>
        </is>
      </c>
      <c r="D169" s="35" t="inlineStr">
        <is>
          <t>Hardening</t>
        </is>
      </c>
      <c r="E169" s="35" t="inlineStr">
        <is>
          <t>16.5</t>
        </is>
      </c>
      <c r="F169" s="35" t="inlineStr">
        <is>
          <t>Auditoria de accesibilidad</t>
        </is>
      </c>
      <c r="G169" s="35" t="inlineStr">
        <is>
          <t>Pendiente</t>
        </is>
      </c>
      <c r="H169" s="62">
        <f>IFERROR(INDEX(Config!$B$3:$B$8,MATCH($G169,Config!$A$3:$A$8,0)),0)</f>
        <v/>
      </c>
      <c r="I169" s="35">
        <f>IFERROR(INDEX(Config!$C$3:$C$8,MATCH($G169,Config!$A$3:$A$8,0)),0)</f>
        <v/>
      </c>
    </row>
    <row r="170" ht="15" customHeight="1" s="36">
      <c r="A170" s="57" t="n">
        <v>166</v>
      </c>
      <c r="B170" s="35" t="inlineStr">
        <is>
          <t>Ola 3 - Internacionalizar y endurecer</t>
        </is>
      </c>
      <c r="C170" s="35" t="inlineStr">
        <is>
          <t>F16</t>
        </is>
      </c>
      <c r="D170" s="35" t="inlineStr">
        <is>
          <t>Hardening</t>
        </is>
      </c>
      <c r="E170" s="35" t="inlineStr">
        <is>
          <t>16.6</t>
        </is>
      </c>
      <c r="F170" s="35" t="inlineStr">
        <is>
          <t>Revision de deuda tecnica acumulada</t>
        </is>
      </c>
      <c r="G170" s="35" t="inlineStr">
        <is>
          <t>Pendiente</t>
        </is>
      </c>
      <c r="H170" s="62">
        <f>IFERROR(INDEX(Config!$B$3:$B$8,MATCH($G170,Config!$A$3:$A$8,0)),0)</f>
        <v/>
      </c>
      <c r="I170" s="35">
        <f>IFERROR(INDEX(Config!$C$3:$C$8,MATCH($G170,Config!$A$3:$A$8,0)),0)</f>
        <v/>
      </c>
    </row>
    <row r="171" ht="15" customHeight="1" s="36">
      <c r="A171" s="57" t="n">
        <v>167</v>
      </c>
      <c r="B171" s="35" t="inlineStr">
        <is>
          <t>Ola 3 - Internacionalizar y endurecer</t>
        </is>
      </c>
      <c r="C171" s="35" t="inlineStr">
        <is>
          <t>F16</t>
        </is>
      </c>
      <c r="D171" s="35" t="inlineStr">
        <is>
          <t>Hardening</t>
        </is>
      </c>
      <c r="E171" s="35" t="inlineStr">
        <is>
          <t>16.7</t>
        </is>
      </c>
      <c r="F171" s="35" t="inlineStr">
        <is>
          <t>Plan de respuesta a incidentes</t>
        </is>
      </c>
      <c r="G171" s="35" t="inlineStr">
        <is>
          <t>Pendiente</t>
        </is>
      </c>
      <c r="H171" s="62">
        <f>IFERROR(INDEX(Config!$B$3:$B$8,MATCH($G171,Config!$A$3:$A$8,0)),0)</f>
        <v/>
      </c>
      <c r="I171" s="35">
        <f>IFERROR(INDEX(Config!$C$3:$C$8,MATCH($G171,Config!$A$3:$A$8,0)),0)</f>
        <v/>
      </c>
    </row>
    <row r="172" ht="15" customHeight="1" s="36">
      <c r="A172" s="57" t="n">
        <v>168</v>
      </c>
      <c r="B172" s="35" t="inlineStr">
        <is>
          <t>Ola 3 - Internacionalizar y endurecer</t>
        </is>
      </c>
      <c r="C172" s="35" t="inlineStr">
        <is>
          <t>F17</t>
        </is>
      </c>
      <c r="D172" s="35" t="inlineStr">
        <is>
          <t>Produccion</t>
        </is>
      </c>
      <c r="E172" s="35" t="inlineStr">
        <is>
          <t>17.1</t>
        </is>
      </c>
      <c r="F172" s="35" t="inlineStr">
        <is>
          <t>Infraestructura definitiva, SSL, dominios</t>
        </is>
      </c>
      <c r="G172" s="35" t="inlineStr">
        <is>
          <t>Pendiente</t>
        </is>
      </c>
      <c r="H172" s="62">
        <f>IFERROR(INDEX(Config!$B$3:$B$8,MATCH($G172,Config!$A$3:$A$8,0)),0)</f>
        <v/>
      </c>
      <c r="I172" s="35">
        <f>IFERROR(INDEX(Config!$C$3:$C$8,MATCH($G172,Config!$A$3:$A$8,0)),0)</f>
        <v/>
      </c>
    </row>
    <row r="173" ht="15" customHeight="1" s="36">
      <c r="A173" s="57" t="n">
        <v>169</v>
      </c>
      <c r="B173" s="35" t="inlineStr">
        <is>
          <t>Ola 3 - Internacionalizar y endurecer</t>
        </is>
      </c>
      <c r="C173" s="35" t="inlineStr">
        <is>
          <t>F17</t>
        </is>
      </c>
      <c r="D173" s="35" t="inlineStr">
        <is>
          <t>Produccion</t>
        </is>
      </c>
      <c r="E173" s="35" t="inlineStr">
        <is>
          <t>17.2</t>
        </is>
      </c>
      <c r="F173" s="35" t="inlineStr">
        <is>
          <t>Monitoreo, alertas, uptime</t>
        </is>
      </c>
      <c r="G173" s="35" t="inlineStr">
        <is>
          <t>Pendiente</t>
        </is>
      </c>
      <c r="H173" s="62">
        <f>IFERROR(INDEX(Config!$B$3:$B$8,MATCH($G173,Config!$A$3:$A$8,0)),0)</f>
        <v/>
      </c>
      <c r="I173" s="35">
        <f>IFERROR(INDEX(Config!$C$3:$C$8,MATCH($G173,Config!$A$3:$A$8,0)),0)</f>
        <v/>
      </c>
    </row>
    <row r="174" ht="15" customHeight="1" s="36">
      <c r="A174" s="57" t="n">
        <v>170</v>
      </c>
      <c r="B174" s="35" t="inlineStr">
        <is>
          <t>Ola 3 - Internacionalizar y endurecer</t>
        </is>
      </c>
      <c r="C174" s="35" t="inlineStr">
        <is>
          <t>F17</t>
        </is>
      </c>
      <c r="D174" s="35" t="inlineStr">
        <is>
          <t>Produccion</t>
        </is>
      </c>
      <c r="E174" s="35" t="inlineStr">
        <is>
          <t>17.3</t>
        </is>
      </c>
      <c r="F174" s="35" t="inlineStr">
        <is>
          <t>Backups y restauracion probada</t>
        </is>
      </c>
      <c r="G174" s="35" t="inlineStr">
        <is>
          <t>Pendiente</t>
        </is>
      </c>
      <c r="H174" s="62">
        <f>IFERROR(INDEX(Config!$B$3:$B$8,MATCH($G174,Config!$A$3:$A$8,0)),0)</f>
        <v/>
      </c>
      <c r="I174" s="35">
        <f>IFERROR(INDEX(Config!$C$3:$C$8,MATCH($G174,Config!$A$3:$A$8,0)),0)</f>
        <v/>
      </c>
    </row>
    <row r="175" ht="15" customHeight="1" s="36">
      <c r="A175" s="57" t="n">
        <v>171</v>
      </c>
      <c r="B175" s="35" t="inlineStr">
        <is>
          <t>Ola 3 - Internacionalizar y endurecer</t>
        </is>
      </c>
      <c r="C175" s="35" t="inlineStr">
        <is>
          <t>F17</t>
        </is>
      </c>
      <c r="D175" s="35" t="inlineStr">
        <is>
          <t>Produccion</t>
        </is>
      </c>
      <c r="E175" s="35" t="inlineStr">
        <is>
          <t>17.4</t>
        </is>
      </c>
      <c r="F175" s="35" t="inlineStr">
        <is>
          <t>Runbooks operativos</t>
        </is>
      </c>
      <c r="G175" s="35" t="inlineStr">
        <is>
          <t>En curso</t>
        </is>
      </c>
      <c r="H175" s="62">
        <f>IFERROR(INDEX(Config!$B$3:$B$8,MATCH($G175,Config!$A$3:$A$8,0)),0)</f>
        <v/>
      </c>
      <c r="I175" s="35">
        <f>IFERROR(INDEX(Config!$C$3:$C$8,MATCH($G175,Config!$A$3:$A$8,0)),0)</f>
        <v/>
      </c>
      <c r="J175" s="35" t="inlineStr">
        <is>
          <t>Primera version en docs/18-RUNBOOK-DESPLIEGUE.md (2026-08-26): los dos crones, orden de despliegue y comprobaciones. Falta ejecutarlo de verdad y corregirlo con lo que salga (T-35)</t>
        </is>
      </c>
    </row>
    <row r="176" ht="15" customHeight="1" s="36">
      <c r="A176" s="57" t="n">
        <v>172</v>
      </c>
      <c r="B176" s="35" t="inlineStr">
        <is>
          <t>Ola 3 - Internacionalizar y endurecer</t>
        </is>
      </c>
      <c r="C176" s="35" t="inlineStr">
        <is>
          <t>F17</t>
        </is>
      </c>
      <c r="D176" s="35" t="inlineStr">
        <is>
          <t>Produccion</t>
        </is>
      </c>
      <c r="E176" s="35" t="inlineStr">
        <is>
          <t>17.5</t>
        </is>
      </c>
      <c r="F176" s="35" t="inlineStr">
        <is>
          <t>Documentacion final</t>
        </is>
      </c>
      <c r="G176" s="35" t="inlineStr">
        <is>
          <t>Pendiente</t>
        </is>
      </c>
      <c r="H176" s="62">
        <f>IFERROR(INDEX(Config!$B$3:$B$8,MATCH($G176,Config!$A$3:$A$8,0)),0)</f>
        <v/>
      </c>
      <c r="I176" s="35">
        <f>IFERROR(INDEX(Config!$C$3:$C$8,MATCH($G176,Config!$A$3:$A$8,0)),0)</f>
        <v/>
      </c>
    </row>
    <row r="177" ht="15" customHeight="1" s="36">
      <c r="A177" s="57" t="n">
        <v>173</v>
      </c>
      <c r="B177" s="35" t="inlineStr">
        <is>
          <t>Ola 3 - Internacionalizar y endurecer</t>
        </is>
      </c>
      <c r="C177" s="35" t="inlineStr">
        <is>
          <t>F17</t>
        </is>
      </c>
      <c r="D177" s="35" t="inlineStr">
        <is>
          <t>Produccion</t>
        </is>
      </c>
      <c r="E177" s="35" t="inlineStr">
        <is>
          <t>17.6</t>
        </is>
      </c>
      <c r="F177" s="35" t="inlineStr">
        <is>
          <t>Plan de soporte y de despliegue continuo</t>
        </is>
      </c>
      <c r="G177" s="35" t="inlineStr">
        <is>
          <t>Pendiente</t>
        </is>
      </c>
      <c r="H177" s="62">
        <f>IFERROR(INDEX(Config!$B$3:$B$8,MATCH($G177,Config!$A$3:$A$8,0)),0)</f>
        <v/>
      </c>
      <c r="I177" s="35">
        <f>IFERROR(INDEX(Config!$C$3:$C$8,MATCH($G177,Config!$A$3:$A$8,0)),0)</f>
        <v/>
      </c>
    </row>
    <row r="178">
      <c r="A178" s="57" t="inlineStr">
        <is>
          <t>174</t>
        </is>
      </c>
      <c r="B178" s="35" t="inlineStr">
        <is>
          <t>Ola 2 - Escalar comercialmente</t>
        </is>
      </c>
      <c r="C178" s="35" t="inlineStr">
        <is>
          <t>F9</t>
        </is>
      </c>
      <c r="D178" s="35" t="inlineStr">
        <is>
          <t>Finanzas y facturacion</t>
        </is>
      </c>
      <c r="E178" s="35" t="inlineStr">
        <is>
          <t>9.20</t>
        </is>
      </c>
      <c r="F178" s="35" t="inlineStr">
        <is>
          <t>Cada cosa en su sitio: menu por grupos y la configuracion con una sola puerta</t>
        </is>
      </c>
      <c r="G178" s="35" t="inlineStr">
        <is>
          <t>Terminado</t>
        </is>
      </c>
      <c r="H178" s="35">
        <f>IFERROR(INDEX(Config!$B$3:$B$8,MATCH($G178,Config!$A$3:$A$8,0)),0)</f>
        <v/>
      </c>
      <c r="I178" s="35">
        <f>IFERROR(INDEX(Config!$C$3:$C$8,MATCH($G178,Config!$A$3:$A$8,0)),0)</f>
        <v/>
      </c>
      <c r="J178" s="35" t="inlineStr">
        <is>
          <t>2026-08-31. FUERA DEL ALCANCE ORIGINAL, reportado al revisar el sitio. Nueve pantallas estaban dos veces --sueltas en el menu y dentro de /configuracion--, asi que entrar desde el panel dejaba al usuario sin saber donde estaba. Menu en tres grupos y una sola puerta (DEC-233); la portada por bloques con orden fijo (DEC-234); los catalogos pasan a ser un area con portada y aviso (DEC-235). Miga de pan en cada pantalla. Sin migracion y sin mover ninguna ruta. 984 pruebas. docs/fase-9/9.20-CADA-COSA-EN-SU-SITIO.md</t>
        </is>
      </c>
    </row>
    <row r="179">
      <c r="A179" s="57" t="inlineStr">
        <is>
          <t>175</t>
        </is>
      </c>
      <c r="B179" s="35" t="inlineStr">
        <is>
          <t>Ola 2 - Escalar comercialmente</t>
        </is>
      </c>
      <c r="C179" s="35" t="inlineStr">
        <is>
          <t>F9</t>
        </is>
      </c>
      <c r="D179" s="35" t="inlineStr">
        <is>
          <t>Finanzas y facturacion</t>
        </is>
      </c>
      <c r="E179" s="35" t="inlineStr">
        <is>
          <t>9.21a</t>
        </is>
      </c>
      <c r="F179" s="35" t="inlineStr">
        <is>
          <t>La trastienda se muda a /backoffice para dejar libre la calle</t>
        </is>
      </c>
      <c r="G179" s="35" t="inlineStr">
        <is>
          <t>Terminado</t>
        </is>
      </c>
      <c r="H179" s="35">
        <f>IFERROR(INDEX(Config!$B$3:$B$8,MATCH($G179,Config!$A$3:$A$8,0)),0)</f>
        <v/>
      </c>
      <c r="I179" s="35">
        <f>IFERROR(INDEX(Config!$C$3:$C$8,MATCH($G179,Config!$A$3:$A$8,0)),0)</f>
        <v/>
      </c>
      <c r="J179" s="35" t="inlineStr">
        <is>
          <t>2026-08-31. FUERA DEL ALCANCE ORIGINAL. Lo vio el negocio antes de escribir una linea de la landing: /creadores era la lista del admin y tiene que ser la puerta publica de los creadores. 149 rutas se mudan con UNA linea --docs/08 prohibe URLs a mano en las vistas, y esa regla es lo que lo hace gratis (DEC-236)--; 21 se quedan fuera con su motivo, incluidas /contrasena/nueva y /marca/logo, que comparten primer segmento con algo que si se movio (DEC-237). Una prueba recorre todas las rutas con nombre. Las 390 URLs a mano de las pruebas quedan como T-78. 984 pruebas. docs/fase-9/9.21a-LA-TRASTIENDA-SE-MUDA.md</t>
        </is>
      </c>
    </row>
    <row r="180">
      <c r="A180" s="57" t="inlineStr">
        <is>
          <t>176</t>
        </is>
      </c>
      <c r="B180" s="35" t="inlineStr">
        <is>
          <t>Ola 2 - Escalar comercialmente</t>
        </is>
      </c>
      <c r="C180" s="35" t="inlineStr">
        <is>
          <t>F9</t>
        </is>
      </c>
      <c r="D180" s="35" t="inlineStr">
        <is>
          <t>Finanzas y facturacion</t>
        </is>
      </c>
      <c r="E180" s="35" t="inlineStr">
        <is>
          <t>9.21b</t>
        </is>
      </c>
      <c r="F180" s="35" t="inlineStr">
        <is>
          <t>La puerta de la calle: dos portadas publicas con el texto editable y la postulacion</t>
        </is>
      </c>
      <c r="G180" s="35" t="inlineStr">
        <is>
          <t>Terminado</t>
        </is>
      </c>
      <c r="H180" s="35">
        <f>IFERROR(INDEX(Config!$B$3:$B$8,MATCH($G180,Config!$A$3:$A$8,0)),0)</f>
        <v/>
      </c>
      <c r="I180" s="35">
        <f>IFERROR(INDEX(Config!$C$3:$C$8,MATCH($G180,Config!$A$3:$A$8,0)),0)</f>
        <v/>
      </c>
      <c r="J180" s="35" t="inlineStr">
        <is>
          <t>2026-08-31. FUERA DEL ALCANCE ORIGINAL. / habla a las marcas y /creadores a los creadores, enlazadas entre si (DEC-238). El texto es un DATO --titular, bloques, boton y lo que sale en buscadores-- editable desde /backoffice/landing y colgado de la marca (DEC-239). La postulacion publica escribe en creator_applications, que existia desde la Fase 2 con source=landing y sin nadie que escribiera, con throttle y campo trampa en vez de CAPTCHA (DEC-240). Sin portada se va al acceso, no a un 404 (DEC-241). 1001 pruebas; 2182 aserciones SQL en MariaDB y 2172 en MySQL 8. docs/fase-9/9.21b-LA-PUERTA-DE-LA-CALLE.md</t>
        </is>
      </c>
    </row>
    <row r="181">
      <c r="A181" s="57" t="inlineStr">
        <is>
          <t>177</t>
        </is>
      </c>
      <c r="B181" s="35" t="inlineStr">
        <is>
          <t>Ola 2 - Escalar comercialmente</t>
        </is>
      </c>
      <c r="C181" s="35" t="inlineStr">
        <is>
          <t>F9</t>
        </is>
      </c>
      <c r="D181" s="35" t="inlineStr">
        <is>
          <t>Finanzas y facturacion</t>
        </is>
      </c>
      <c r="E181" s="35" t="inlineStr">
        <is>
          <t>9.21c</t>
        </is>
      </c>
      <c r="F181" s="35" t="inlineStr">
        <is>
          <t>El contacto que no se pierde: prospecto de marcas con su bandeja</t>
        </is>
      </c>
      <c r="G181" s="35" t="inlineStr">
        <is>
          <t>Terminado</t>
        </is>
      </c>
      <c r="H181" s="35">
        <f>IFERROR(INDEX(Config!$B$3:$B$8,MATCH($G181,Config!$A$3:$A$8,0)),0)</f>
        <v/>
      </c>
      <c r="I181" s="35">
        <f>IFERROR(INDEX(Config!$C$3:$C$8,MATCH($G181,Config!$A$3:$A$8,0)),0)</f>
        <v/>
      </c>
      <c r="J181" s="35" t="inlineStr">
        <is>
          <t>2026-08-31. FUERA DEL ALCANCE ORIGINAL. El formulario de la portada de marcas crea una FILA y no un correo: hoy el correo esta en «log» y una instalacion con el SMTP a medio configurar perderia cada contacto sin que nadie se entere (DEC-242). Misma forma que creator_applications, con columna puerta para que solo lo abierto ocupe sitio (DEC-243). Descartar exige motivo y no borra; convertir exige decir en que cliente (DEC-244). Una asercion pasaba por casualidad y los dos motores la delataron. 1014 pruebas; 2208 aserciones SQL en MariaDB y 2197 en MySQL 8. docs/fase-9/9.21c-EL-PROSPECTO.md</t>
        </is>
      </c>
    </row>
  </sheetData>
  <autoFilter ref="A1:J174"/>
  <conditionalFormatting sqref="G2:G169">
    <cfRule type="cellIs" rank="0" priority="2" equalAverage="0" operator="equal" aboveAverage="0" dxfId="12" text="" percent="0" bottom="0">
      <formula>"Terminado"</formula>
    </cfRule>
    <cfRule type="cellIs" rank="0" priority="3" equalAverage="0" operator="equal" aboveAverage="0" dxfId="13" text="" percent="0" bottom="0">
      <formula>"En curso"</formula>
    </cfRule>
    <cfRule type="cellIs" rank="0" priority="4" equalAverage="0" operator="equal" aboveAverage="0" dxfId="14" text="" percent="0" bottom="0">
      <formula>"Pendiente"</formula>
    </cfRule>
    <cfRule type="cellIs" rank="0" priority="5" equalAverage="0" operator="equal" aboveAverage="0" dxfId="15" text="" percent="0" bottom="0">
      <formula>"Bloqueado"</formula>
    </cfRule>
    <cfRule type="cellIs" rank="0" priority="6" equalAverage="0" operator="equal" aboveAverage="0" dxfId="16" text="" percent="0" bottom="0">
      <formula>"Aplazado"</formula>
    </cfRule>
    <cfRule type="cellIs" rank="0" priority="7" equalAverage="0" operator="equal" aboveAverage="0" dxfId="17" text="" percent="0" bottom="0">
      <formula>"No aplica"</formula>
    </cfRule>
  </conditionalFormatting>
  <dataValidations count="1">
    <dataValidation sqref="G2:G169" showDropDown="0" showInputMessage="0" showErrorMessage="0" allowBlank="0" type="list" errorStyle="stop" operator="between">
      <formula1>Config!$A$3:$A$8</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72"/>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35" min="1" max="1"/>
    <col width="11" customWidth="1" style="35" min="2" max="2"/>
    <col width="10" customWidth="1" style="35" min="3" max="3"/>
    <col width="62" customWidth="1" style="35" min="4" max="4"/>
    <col width="32" customWidth="1" style="35" min="5" max="5"/>
    <col width="24" customWidth="1" style="35" min="6" max="6"/>
    <col width="110" customWidth="1" style="35" min="7" max="7"/>
  </cols>
  <sheetData>
    <row r="1" ht="33.75" customHeight="1" s="36">
      <c r="A1" s="63" t="inlineStr">
        <is>
          <t>Tareas técnicas y de gestión (T-XX). Nacen cuando algo se descubre roto o a medias y no se puede arreglar en el momento. Fuente: docs/05-DECISION-LOG.md. Las abiertas van arriba.</t>
        </is>
      </c>
    </row>
    <row r="2" ht="24" customHeight="1" s="36">
      <c r="A2" s="64" t="inlineStr">
        <is>
          <t>ID</t>
        </is>
      </c>
      <c r="B2" s="64" t="inlineStr">
        <is>
          <t>Estado</t>
        </is>
      </c>
      <c r="C2" s="64" t="inlineStr">
        <is>
          <t>Prioridad</t>
        </is>
      </c>
      <c r="D2" s="64" t="inlineStr">
        <is>
          <t>Que hay que hacer</t>
        </is>
      </c>
      <c r="E2" s="64" t="inlineStr">
        <is>
          <t>Cuando hace falta</t>
        </is>
      </c>
      <c r="F2" s="64" t="inlineStr">
        <is>
          <t>Quien la desbloquea</t>
        </is>
      </c>
      <c r="G2" s="64" t="inlineStr">
        <is>
          <t>Detalle</t>
        </is>
      </c>
    </row>
    <row r="3" ht="68.25" customHeight="1" s="36">
      <c r="A3" s="67" t="inlineStr">
        <is>
          <t>T-09</t>
        </is>
      </c>
      <c r="B3" s="68" t="inlineStr">
        <is>
          <t>Abierta</t>
        </is>
      </c>
      <c r="C3" s="68" t="inlineStr">
        <is>
          <t>Critica</t>
        </is>
      </c>
      <c r="D3" s="69" t="inlineStr">
        <is>
          <t>Que un abogado revise el texto base de los terminos.</t>
        </is>
      </c>
      <c r="E3" s="69" t="inlineStr">
        <is>
          <t>Antes de la primera discusion real con un creador</t>
        </is>
      </c>
      <c r="F3" s="69" t="inlineStr">
        <is>
          <t>Tu abogado</t>
        </is>
      </c>
      <c r="G3" s="69" t="inlineStr">
        <is>
          <t>Ya NO bloquea nada (9.16): el sistema arranca con un texto de partida sembrado y publicado, se edita desde el admin, y los creadores se pueden activar hoy. Lo que queda es la revision juridica de ese texto, que la propia pantalla marca en rojo mientras no ocurra --review_status = sin_revisar-- y que ademas cuenta las once marcas [REVISAR] que el borrador lleva dentro. Los tres bloques que mas necesitan al abogado: menores de edad (hoy la aceptacion se registra a nombre del creador y no del tutor), propiedad intelectual del contenido --el sistema no modela licencia, exclusividad ni plazo de uso, y son el nucleo de un contrato de marketing de creadores-- y ley aplicable y fuero. Insumos en docs/legal/Insumos-terminos-creador.docx</t>
        </is>
      </c>
    </row>
    <row r="4" ht="57" customHeight="1" s="36">
      <c r="A4" s="67" t="inlineStr">
        <is>
          <t>T-69</t>
        </is>
      </c>
      <c r="B4" s="68" t="inlineStr">
        <is>
          <t>Abierta</t>
        </is>
      </c>
      <c r="C4" s="68" t="inlineStr">
        <is>
          <t>Critica</t>
        </is>
      </c>
      <c r="D4" s="69" t="inlineStr">
        <is>
          <t>Repasar toda decision anterior que fije un valor en el codigo, bajo DEC-190.</t>
        </is>
      </c>
      <c r="E4" s="69" t="inlineStr">
        <is>
          <t>Trabajo de fondo</t>
        </is>
      </c>
      <c r="F4" s="69" t="inlineStr">
        <is>
          <t>Equipo de desarrollo</t>
        </is>
      </c>
      <c r="G4" s="69" t="inlineStr">
        <is>
          <t>El principio de white label llego en 9.16 y hay noventa decisiones tomadas antes. Las que se sabe que hay que revisar: los 30 dias de plazo de pago (BR-FIN-012, hoy por creador pero con el 30 de fabrica en el codigo), el periodo de enfriamiento de un medio de pago (BR-FIN-006), las dos rondas incluidas (BR-CONTENT-003), el corte de 10 dias de una tasa rancia (DEC-160), los umbrales del buscador de creadores, y la marca de la plataforma. Ninguno esta mal hoy; lo que esta mal es que para cambiarlos haya que tocar codigo. Se hace por partes y con su iteracion, no de golpe</t>
        </is>
      </c>
    </row>
    <row r="5" ht="34.5" customHeight="1" s="36">
      <c r="A5" s="67" t="inlineStr">
        <is>
          <t>T-29</t>
        </is>
      </c>
      <c r="B5" s="68" t="inlineStr">
        <is>
          <t>Abierta</t>
        </is>
      </c>
      <c r="C5" s="68" t="n"/>
      <c r="D5" s="69" t="inlineStr">
        <is>
          <t>Cinco iteraciones de la Fase 3 sin documento.</t>
        </is>
      </c>
      <c r="E5" s="69" t="inlineStr">
        <is>
          <t>Antes de que se olvide el porque</t>
        </is>
      </c>
      <c r="F5" s="69" t="inlineStr">
        <is>
          <t>Equipo de desarrollo</t>
        </is>
      </c>
      <c r="G5" s="69" t="inlineStr">
        <is>
          <t>3.9 (tarifas), 3.11 (anulacion), 3.12 (no borrar), 3.13 (terminos) y 3.14 (rotacion de clave). Todas las demas iteraciones del proyecto tienen el suyo. El trabajo esta hecho y verificado por sus suites; lo que falta es el documento que explica por que, que es justo lo que no se puede reconstruir leyendo el codigo dentro de seis meses</t>
        </is>
      </c>
    </row>
    <row r="6" ht="45.75" customHeight="1" s="36">
      <c r="A6" s="67" t="inlineStr">
        <is>
          <t>T-34</t>
        </is>
      </c>
      <c r="B6" s="68" t="inlineStr">
        <is>
          <t>Abierta</t>
        </is>
      </c>
      <c r="C6" s="68" t="n"/>
      <c r="D6" s="69" t="inlineStr">
        <is>
          <t>BR-CREATOR-012 dice menos de lo que el esquema implica.</t>
        </is>
      </c>
      <c r="E6" s="69" t="inlineStr">
        <is>
          <t>Al revisar docs/06</t>
        </is>
      </c>
      <c r="F6" s="69" t="inlineStr">
        <is>
          <t>Equipo de desarrollo</t>
        </is>
      </c>
      <c r="G6" s="69" t="inlineStr">
        <is>
          <t>El texto habla solo de creadores CON TUTELA ACTIVA, y min_creator_age es una columna de campaigns que no menciona la tutela: aplicarla solo a los menores dejaria pasar a un creador de 20 anos en una campana de 21. En 7.4 se aplica a TODOS, y la edad minima efectiva es el maximo entre la de la campana y la de las categorias de la marca. Lo que hay que corregir es el texto de la regla, no el codigo</t>
        </is>
      </c>
    </row>
    <row r="7" ht="45.75" customHeight="1" s="36">
      <c r="A7" s="67" t="inlineStr">
        <is>
          <t>T-35</t>
        </is>
      </c>
      <c r="B7" s="68" t="inlineStr">
        <is>
          <t>Abierta</t>
        </is>
      </c>
      <c r="C7" s="68" t="n"/>
      <c r="D7" s="69" t="inlineStr">
        <is>
          <t>El runbook de despliegue existe pero nadie lo ha ejecutado.</t>
        </is>
      </c>
      <c r="E7" s="69" t="inlineStr">
        <is>
          <t>Al primer despliegue</t>
        </is>
      </c>
      <c r="F7" s="69" t="inlineStr">
        <is>
          <t>Tu (primer despliegue)</t>
        </is>
      </c>
      <c r="G7" s="69" t="inlineStr">
        <is>
          <t>docs/18-RUNBOOK-DESPLIEGUE.md (2026-08-26) recoge por fin los pasos que vivian en conversaciones: los dos GRANT de DEC-085, las DOS lineas de cron --la de la cola y la del scheduler, que no son la misma y falta cualquiera de las dos rompe algo distinto--, el orden de despliegue y las comprobaciones posteriores. Escribirlo no lo ejecuta: sigue pendiente hacerlo en el servidor real y corregir el documento con lo que se descubra, porque un runbook que nadie ha seguido es una hipotesis</t>
        </is>
      </c>
    </row>
    <row r="8" ht="57" customHeight="1" s="36">
      <c r="A8" s="67" t="inlineStr">
        <is>
          <t>T-37</t>
        </is>
      </c>
      <c r="B8" s="68" t="inlineStr">
        <is>
          <t>Abierta</t>
        </is>
      </c>
      <c r="C8" s="68" t="n"/>
      <c r="D8" s="69" t="inlineStr">
        <is>
          <t>VARBINARY faltaba en el reconocedor de tipos de generar-triggers.py y puede faltar algo mas.</t>
        </is>
      </c>
      <c r="E8" s="69" t="inlineStr">
        <is>
          <t>Antes de anadir un tipo de columna nuevo</t>
        </is>
      </c>
      <c r="F8" s="69" t="inlineStr">
        <is>
          <t>Equipo de desarrollo</t>
        </is>
      </c>
      <c r="G8" s="69" t="inlineStr">
        <is>
          <t>^BINARY no casaba con VARBINARY(16): la columna no entraba en la lista y el CHECK que la nombraba se generaba como un disparador con el identificador suelto. Arreglado, y se vio porque MySQL grita; el hueco llevaba desde la Fase 2 en audit_logs.ip_address y creator_identity_verifications.ip_address, dos columnas que nunca habian aparecido en un CHECK. Lo que queda por hacer es la comprobacion que lo habria cazado antes: que el generador falle cuando una linea de una tabla parece definicion de columna y el reconocedor de tipos la descarta, en vez de seguir en silencio</t>
        </is>
      </c>
    </row>
    <row r="9" ht="57" customHeight="1" s="36">
      <c r="A9" s="67" t="inlineStr">
        <is>
          <t>T-64</t>
        </is>
      </c>
      <c r="B9" s="68" t="inlineStr">
        <is>
          <t>Abierta</t>
        </is>
      </c>
      <c r="C9" s="68" t="n"/>
      <c r="D9" s="69" t="inlineStr">
        <is>
          <t>La matriz de permisos del seeder concede y no revoca nunca.</t>
        </is>
      </c>
      <c r="E9" s="69" t="inlineStr">
        <is>
          <t>Antes de la siguiente revocacion</t>
        </is>
      </c>
      <c r="F9" s="69" t="inlineStr">
        <is>
          <t>Equipo de desarrollo</t>
        </is>
      </c>
      <c r="G9" s="69" t="inlineStr">
        <is>
          <t>CimientosSeeder aplica los roles con updateOrInsert, asi que quitar una linea de la matriz no quita el permiso en ninguna base que ya lo tenga --produccion incluida-- y el permiso sigue puesto sin que nada lo diga. Se descubrio al revocar campaign.view_margin en 9.10a, y alli se resolvio con un DELETE explicito en la migracion; el problema es general y el siguiente «quitale ese permiso a ese rol» fallara igual. Hace falta decidir la forma: o la matriz se vuelve autoritativa --y entonces borra lo que no aparece, con el riesgo de tumbar concesiones hechas a mano-- o cada revocacion pasa por su migracion y eso se escribe donde se pueda encontrar</t>
        </is>
      </c>
    </row>
    <row r="10" ht="57" customHeight="1" s="36">
      <c r="A10" s="67" t="inlineStr">
        <is>
          <t>T-65</t>
        </is>
      </c>
      <c r="B10" s="68" t="inlineStr">
        <is>
          <t>Abierta</t>
        </is>
      </c>
      <c r="C10" s="68" t="n"/>
      <c r="D10" s="69" t="inlineStr">
        <is>
          <t>147 reglas del esquema siguen sin que nadie les pregunte nada.</t>
        </is>
      </c>
      <c r="E10" s="69" t="inlineStr">
        <is>
          <t>Trabajo de fondo</t>
        </is>
      </c>
      <c r="F10" s="69" t="inlineStr">
        <is>
          <t>Equipo de desarrollo</t>
        </is>
      </c>
      <c r="G10" s="69" t="inlineStr">
        <is>
          <t>Bajo de 167 a 147 al cubrir las veinte del camino del dinero (9.14). La mayor concentracion que queda esta en invoices (12), creator_tax_profiles (9) y creator_payment_methods (7): tablas de dinero y de datos sensibles de las Fases 2 y 3. Bajarlo es trabajo mecanico y medible, y el trinquete de MUDAS-BASE impide que suba mientras tanto. Cuidado con la forma facil de bajarlo mal: una asercion que admite OTRO motivo por la alternancia de porque() cuenta como cubierta y no ha preguntado nada --paso en esta misma iteracion con las dos reglas de payments--</t>
        </is>
      </c>
    </row>
    <row r="11" ht="45.75" customHeight="1" s="36">
      <c r="A11" s="67" t="inlineStr">
        <is>
          <t>T-66</t>
        </is>
      </c>
      <c r="B11" s="68" t="inlineStr">
        <is>
          <t>Abierta</t>
        </is>
      </c>
      <c r="C11" s="68" t="n"/>
      <c r="D11" s="69" t="inlineStr">
        <is>
          <t>Los mensajes de las restricciones de la Fase 2 son genericos.</t>
        </is>
      </c>
      <c r="E11" s="69" t="inlineStr">
        <is>
          <t>Antes de que un usuario real vea un 45000</t>
        </is>
      </c>
      <c r="F11" s="69" t="inlineStr">
        <is>
          <t>Equipo de desarrollo</t>
        </is>
      </c>
      <c r="G11" s="69" t="inlineStr">
        <is>
          <t>Dicen «Restriccion ck_ledger_sign incumplida», que en Percona 5.7 es literalmente lo que ve el usuario, mientras que las de la Fase 9 dicen una frase que explica que paso. Cambiar un mensaje exige recrear la restriccion --Restriccion::comprobacion() crea, no reemplaza-- asi que es su propia iteracion, con su migracion y su vuelta atras. Se descubrio al escribir 9.14, que tuvo que afirmar por NOMBRE en vez de por mensaje en las veinte reglas del dinero</t>
        </is>
      </c>
    </row>
    <row r="12" ht="57" customHeight="1" s="36">
      <c r="A12" s="67" t="inlineStr">
        <is>
          <t>T-68</t>
        </is>
      </c>
      <c r="B12" s="68" t="inlineStr">
        <is>
          <t>Abierta</t>
        </is>
      </c>
      <c r="C12" s="68" t="n"/>
      <c r="D12" s="69" t="inlineStr">
        <is>
          <t>El registro de decisiones y 16-RESPUESTAS-NEGOCIO.md no dicen lo mismo sobre que preguntas siguen abiertas.</t>
        </is>
      </c>
      <c r="E12" s="69" t="inlineStr">
        <is>
          <t>Antes de volver a contar preguntas abiertas</t>
        </is>
      </c>
      <c r="F12" s="69" t="inlineStr">
        <is>
          <t>Equipo de desarrollo</t>
        </is>
      </c>
      <c r="G12" s="69" t="inlineStr">
        <is>
          <t>Doc 16 da por respondidas en su §1 varias preguntas tempranas --Q-05 a Q-28-- y en 05-DECISION-LOG.md hay filas de ese rango que siguen sin tachar. Las dos cosas pueden ser ciertas a la vez --la pregunta gorda contestada y un detalle de diseno abierto-- pero nadie puede saberlo leyendo, y el registro de decisiones es el que manda (§94). Salio al construir las pestanas de tareas y preguntas del Excel de avance, que es la primera vez que alguien las conto. Hay que repasar ese rango una por una y cerrar en el registro las que doc 16 ya contesto, o dejar escrito que queda de cada una</t>
        </is>
      </c>
    </row>
    <row r="13" ht="23.25" customHeight="1" s="36">
      <c r="A13" s="67" t="inlineStr">
        <is>
          <t>T-70</t>
        </is>
      </c>
      <c r="B13" s="68" t="inlineStr">
        <is>
          <t>Abierta</t>
        </is>
      </c>
      <c r="C13" s="68" t="n"/>
      <c r="D13" s="69" t="inlineStr">
        <is>
          <t>16-RESPUESTAS-NEGOCIO.md se quedo viejo: veintiuna preguntas se respondieron el 2026-08-30 y no estan alli.</t>
        </is>
      </c>
      <c r="E13" s="69" t="inlineStr">
        <is>
          <t>Antes de volver a citarlo</t>
        </is>
      </c>
      <c r="F13" s="69" t="inlineStr">
        <is>
          <t>Equipo de desarrollo</t>
        </is>
      </c>
      <c r="G13" s="69" t="inlineStr">
        <is>
          <t>El registro de decisiones ya las tiene cerradas una por una; aquel documento sigue contando quince respuestas de agosto. O se actualiza, o se marca como historico de la primera tanda y se dice que el registro manda. Relacionada con T-68</t>
        </is>
      </c>
    </row>
    <row r="14" ht="45.75" customHeight="1" s="36">
      <c r="A14" s="67" t="inlineStr">
        <is>
          <t>T-71</t>
        </is>
      </c>
      <c r="B14" s="68" t="inlineStr">
        <is>
          <t>Abierta</t>
        </is>
      </c>
      <c r="C14" s="68" t="n"/>
      <c r="D14" s="69" t="inlineStr">
        <is>
          <t>El logotipo esta compuesto con una tipografia de sistema, no con una de diseno.</t>
        </is>
      </c>
      <c r="E14" s="69" t="inlineStr">
        <is>
          <t>Cuando haya un logotipo disenado</t>
        </is>
      </c>
      <c r="F14" s="69" t="inlineStr">
        <is>
          <t>Equipo de desarrollo</t>
        </is>
      </c>
      <c r="G14" s="69" t="inlineStr">
        <is>
          <t>marca/01_Logo_Horizontal.svg y 02_Logo_Vertical.svg llevan el texto vivo con font-family="DejaVu Sans", y los SVG de public/img/brand/ son los contornos de esa misma composicion. Funciona y se ve bien, pero el wordmark no esta disenado: esta escrito con la tipografia por defecto del sistema que lo genero. No es urgente --la plataforma opera igual-- y deja de ser un problema tecnico en cuanto 9.17 permita subirlo: el dia que haya un logotipo de verdad se sube desde el admin y ya. Salio al contestar Q-30</t>
        </is>
      </c>
    </row>
    <row r="15" ht="45.75" customHeight="1" s="36">
      <c r="A15" s="67" t="inlineStr">
        <is>
          <t>T-10</t>
        </is>
      </c>
      <c r="B15" s="68" t="inlineStr">
        <is>
          <t>Resuelta</t>
        </is>
      </c>
      <c r="C15" s="68" t="n"/>
      <c r="D15" s="69" t="inlineStr">
        <is>
          <t>RESUELTA (2026-08-26, iteracion 4.13). — El aviso al creador cuando cambian sus datos fiscales o su medio de pago.</t>
        </is>
      </c>
      <c r="E15" s="69" t="inlineStr">
        <is>
          <t>—</t>
        </is>
      </c>
      <c r="F15" s="69" t="inlineStr">
        <is>
          <t>Equipo de desarrollo</t>
        </is>
      </c>
      <c r="G15" s="69" t="inlineStr">
        <is>
          <t>Cierra la mitad que faltaba de BR-CREATOR-007 (🔴): la aprobacion interna existia desde 3.6 y 3.8, la NOTIFICACION no --«la pantalla se lo recuerda al operador para que lo haga a mano», que es otra forma de decir que no se hacia--. 390 pruebas, siete mutaciones en rojo, las seis puertas en verde con Deptrac incluido: que el grafo siga acilico ES parte del resultado. Ver docs/fase-4/4.13-AVISO-DE-CAMBIO.md</t>
        </is>
      </c>
    </row>
    <row r="16" ht="57" customHeight="1" s="36">
      <c r="A16" s="67" t="inlineStr">
        <is>
          <t>T-11</t>
        </is>
      </c>
      <c r="B16" s="68" t="inlineStr">
        <is>
          <t>Resuelta</t>
        </is>
      </c>
      <c r="C16" s="68" t="n"/>
      <c r="D16" s="69" t="inlineStr">
        <is>
          <t>*(hecho en 3.14)* Rotar APP_KEY invalida las huellas de las cuentas bancarias. Los números siguen siendo recuperables (Crypt conserva APP_PREVIOUS_KEYS), pero la huella es un HMAC con esa clave: tras una rotación, la detección de cuentas repetidas (DEC-065) deja de funcionar sobre las filas viejas.</t>
        </is>
      </c>
      <c r="E16" s="69" t="inlineStr">
        <is>
          <t>Antes de la primera rotación de clave</t>
        </is>
      </c>
      <c r="F16" s="69" t="inlineStr">
        <is>
          <t>Equipo de desarrollo</t>
        </is>
      </c>
      <c r="G16" s="69" t="inlineStr">
        <is>
          <t>Hace falta un comando que las recalcule. No es un problema hoy y sí lo será el día de la primera rotación</t>
        </is>
      </c>
    </row>
    <row r="17" ht="57" customHeight="1" s="36">
      <c r="A17" s="67" t="inlineStr">
        <is>
          <t>T-12</t>
        </is>
      </c>
      <c r="B17" s="68" t="inlineStr">
        <is>
          <t>Resuelta</t>
        </is>
      </c>
      <c r="C17" s="68" t="n"/>
      <c r="D17" s="69" t="inlineStr">
        <is>
          <t>RESUELTA (2026-08-24), y el registro se entero el 2026-08-25. — Las dos mitades estaban hechas desde hacia un dia: la migracion no_overlapping_tax_periods --que ocupa periodo con approved y superseded, porque filtrando solo approved no habria cazado el defecto que venia a arreglar-- y el cierre el dia antes en PerfilFiscalController.</t>
        </is>
      </c>
      <c r="E17" s="69" t="inlineStr">
        <is>
          <t>—</t>
        </is>
      </c>
      <c r="F17" s="69" t="inlineStr">
        <is>
          <t>Equipo de desarrollo</t>
        </is>
      </c>
      <c r="G17" s="69" t="inlineStr">
        <is>
          <t>Esta entrada se quedo en 📋 y asi siguio un mes. Al ir a abrirla se descubrio que ademas ese sitio restaba el dia a mano en vez de por Vigencia: era la octava copia. De ahi sale 4.7</t>
        </is>
      </c>
    </row>
    <row r="18" ht="102" customHeight="1" s="36">
      <c r="A18" s="67" t="inlineStr">
        <is>
          <t>T-13</t>
        </is>
      </c>
      <c r="B18" s="68" t="inlineStr">
        <is>
          <t>Resuelta</t>
        </is>
      </c>
      <c r="C18" s="68" t="n"/>
      <c r="D18" s="69" t="inlineStr">
        <is>
          <t>RESUELTA (2026-08-25, iteracion 4.9). — tests/Apoyo/ConFixturas.php: 16 copias de usuarioCon en 15 archivos y 9 insert de creador en 6 pasan a un sitio.</t>
        </is>
      </c>
      <c r="E18" s="69" t="inlineStr">
        <is>
          <t>—</t>
        </is>
      </c>
      <c r="F18" s="69" t="inlineStr">
        <is>
          <t>Equipo de desarrollo</t>
        </is>
      </c>
      <c r="G18" s="69" t="inlineStr">
        <is>
          <t>Lo caro no era escribirlos: era saber que escribir. Un creador active son CUATRO reglas a la vez --ck_creators_activation, ck_creators_active_identity, ck_creators_identity_evidence y la foranea fk_creators_identity_file--, y se descubrian a base de 4025, uno por intento, con un 1452 de premio final. creadorActivo() ahorra los cuatro intentos, no las teclas. La version compartida de usuarioCon es la de PermisosTest --la unica de las dieciseis que admitia null, o sea un usuario SIN rol, que es el que comprueba que una pantalla protegida rechaza-- y ademas avisa cuando el rol no existe en vez de dejar un 1048 que acusa a la tabla. Salto a la primera con creator_manager, que suena perfecto y no existe. De paso cayo la copia numero once del defecto de H-16: publicarTerminos() cerraba effective_to a mano y la puerta vigencias no la veia porque solo miraba app/. Ahora mira tambien tests/, con la regla A acotada alli --medido: cuatro sitios de aritmetica de dias en pruebas, tres legitimos--. 253 pruebas, 747 aserciones. Ver docs/fase-4/4.9-APOYO-DE-PRUEBAS.md</t>
        </is>
      </c>
    </row>
    <row r="19" ht="90.75" customHeight="1" s="36">
      <c r="A19" s="67" t="inlineStr">
        <is>
          <t>T-14</t>
        </is>
      </c>
      <c r="B19" s="68" t="inlineStr">
        <is>
          <t>Resuelta</t>
        </is>
      </c>
      <c r="C19" s="68" t="n"/>
      <c r="D19" s="69" t="inlineStr">
        <is>
          <t>RESUELTA (2026-08-25, iteracion 4.8). — Los cuatro disparadores de 3.9 pasan a Periodo::sinSolape(): 48 lineas de SQL tecleado a mano por 2 declaraciones.</t>
        </is>
      </c>
      <c r="E19" s="69" t="inlineStr">
        <is>
          <t>—</t>
        </is>
      </c>
      <c r="F19" s="69" t="inlineStr">
        <is>
          <t>Equipo de desarrollo</t>
        </is>
      </c>
      <c r="G19" s="69" t="inlineStr">
        <is>
          <t>Pero lo que escondian valia mas que la duplicacion. (a) La referencia SQL y la migracion creaban disparadores distintos --&lt;=&gt; frente a =, y otros mensajes--: las suites llevaban desde 3.9 probando un disparador que no era el de produccion. Es DEC-042 por la puerta de atras. Hoy no cambia el comportamiento porque las tres columnas de serie son NOT NULL, comprobado; el dia que una admita NULL, = deja pasar el solape en silencio. (b) tools/verificar-periodos.py existe exactamente para cazar eso, pero solo ve lo declarado con Periodo::: cuatro DB::unprepared eran invisibles. Paso de 6 reglas/12 disparadores a 8/16. (c) La comprobacion previa de la migracion miraba los solapes existentes solo en creator_rates: creator_availability recibia su disparador sin que nadie hubiera mirado sus datos, y un disparador no valida lo que ya esta dentro. (d) Las cuatro reglas no estaban en schema_constraints. Baterias: 794 (MariaDB) y 784 (MySQL 8), cero fallidas. Ver docs/fase-4/4.8-DISPARADORES-DE-3.9.md</t>
        </is>
      </c>
    </row>
    <row r="20" ht="57" customHeight="1" s="36">
      <c r="A20" s="67" t="inlineStr">
        <is>
          <t>T-15</t>
        </is>
      </c>
      <c r="B20" s="68" t="inlineStr">
        <is>
          <t>Resuelta</t>
        </is>
      </c>
      <c r="C20" s="68" t="n"/>
      <c r="D20" s="69" t="inlineStr">
        <is>
          <t>*(hecho en 3.11)* No existe anular un perfil fiscal aprobado. superseded significa *reemplazado* —o sea que estuvo vigente— y rejected significa que se rechazó en revisión, antes de aprobarse.</t>
        </is>
      </c>
      <c r="E20" s="69" t="inlineStr">
        <is>
          <t>Cuando haya que corregir un perfil aprobado por error</t>
        </is>
      </c>
      <c r="F20" s="69" t="inlineStr">
        <is>
          <t>Equipo de desarrollo</t>
        </is>
      </c>
      <c r="G20" s="69" t="inlineStr">
        <is>
          <t>No hay forma de decir «esto se aprobó y no debió aprobarse nunca». Lo destapó test_para_un_menor_el_perfil_del_creador_no_cuenta al ponerse en rojo con DEC-071: un perfil fiscal a nombre de un menor no fue válido ni un día, pero la única salida hoy es cerrarlo la víspera del correcto, y eso deja en el histórico un periodo cubierto por un perfil que no valía. Hace falta decidir el mecanismo (¿un estado annulled? ¿un voided_at con motivo y autor?) y quién puede hacerlo — es la misma conversación que Q-48</t>
        </is>
      </c>
    </row>
    <row r="21" ht="45.75" customHeight="1" s="36">
      <c r="A21" s="67" t="inlineStr">
        <is>
          <t>T-16</t>
        </is>
      </c>
      <c r="B21" s="68" t="inlineStr">
        <is>
          <t>Resuelta</t>
        </is>
      </c>
      <c r="C21" s="68" t="n"/>
      <c r="D21" s="69" t="inlineStr">
        <is>
          <t>*(hecho en 3.12)* creator_tax_profiles se puede borrar con un DELETE. Lo llevan payouts, invoices, ledger_entries, creator_payment_methods y cinco tablas más, pero ésta no.</t>
        </is>
      </c>
      <c r="E21" s="69" t="inlineStr">
        <is>
          <t>Antes de la primera declaración que se apoye en este histórico</t>
        </is>
      </c>
      <c r="F21" s="69" t="inlineStr">
        <is>
          <t>Equipo de desarrollo</t>
        </is>
      </c>
      <c r="G21" s="69" t="inlineStr">
        <is>
          <t>Anular (3.11) existe justamente para no destruir el histórico —guarda quién, cuándo y por qué—, y todo eso se va con un DELETE. Salió al escribir la suite de 3.11: la aserción que iba a escribir habría dicho «el DELETE funciona», o sea habría fijado el hueco como si fuera lo correcto, que es el mismo error que PerfilFiscalTest cometió con T-12. Hace falta tg_ctp_no_delete y revisar si alguna otra tabla de histórico está igual</t>
        </is>
      </c>
    </row>
    <row r="22" ht="57" customHeight="1" s="36">
      <c r="A22" s="67" t="inlineStr">
        <is>
          <t>T-17</t>
        </is>
      </c>
      <c r="B22" s="68" t="inlineStr">
        <is>
          <t>Resuelta</t>
        </is>
      </c>
      <c r="C22" s="68" t="n"/>
      <c r="D22" s="69" t="inlineStr">
        <is>
          <t>RESUELTA (2026-08-25, iteracion 4.6). — Las dos carreras cerradas por caminos opuestos, porque son problemas opuestos.</t>
        </is>
      </c>
      <c r="E22" s="69" t="inlineStr">
        <is>
          <t>—</t>
        </is>
      </c>
      <c r="F22" s="69" t="inlineStr">
        <is>
          <t>Equipo de desarrollo</t>
        </is>
      </c>
      <c r="G22" s="69" t="inlineStr">
        <is>
          <t>Contactos: se bloquea la fila del CLIENTE —que siempre existe— antes de tocar el puesto de principal; el UPDATE que baja al anterior no bloquea nada cuando el puesto esta libre, que es justo el caso normal. Marcas: el slug lo calcula el sistema, asi que su choque se absorbe y se reintenta (DEC-087). Comprobado contra el motor que reintentar «volviendo a preguntar» no converge —en REPEATABLE READ la lectura sigue viendo la foto vieja— y que un FOR UPDATE sobre una fila inexistente cambiaria el 1062 por un 1213. Por eso el que reintenta le dice a slugUnico() que ya probo. Ver docs/fase-4/4.6-CARRERAS.md</t>
        </is>
      </c>
    </row>
    <row r="23" ht="34.5" customHeight="1" s="36">
      <c r="A23" s="67" t="inlineStr">
        <is>
          <t>T-18</t>
        </is>
      </c>
      <c r="B23" s="68" t="inlineStr">
        <is>
          <t>Resuelta</t>
        </is>
      </c>
      <c r="C23" s="68" t="n"/>
      <c r="D23" s="69" t="inlineStr">
        <is>
          <t>RESUELTA (2026-08-25). — DEC-085: dos usuarios de base de datos, .env.example con las concesiones exactas, y php artisan seguridad:privilegios que lo comprueba en vez de prometerlo.</t>
        </is>
      </c>
      <c r="E23" s="69" t="inlineStr">
        <is>
          <t>Al desplegar</t>
        </is>
      </c>
      <c r="F23" s="69" t="inlineStr">
        <is>
          <t>Equipo de desarrollo</t>
        </is>
      </c>
      <c r="G23" s="69" t="inlineStr">
        <is>
          <t>La suite 3.12 fija las dos mitades con usuarios reales, incluida la incomoda: con DROP la bitacora si se vacia. Falta ejecutar los GRANT en el servidor de produccion</t>
        </is>
      </c>
    </row>
    <row r="24" ht="23.25" customHeight="1" s="36">
      <c r="A24" s="67" t="inlineStr">
        <is>
          <t>T-19</t>
        </is>
      </c>
      <c r="B24" s="68" t="inlineStr">
        <is>
          <t>Resuelta</t>
        </is>
      </c>
      <c r="C24" s="68" t="n"/>
      <c r="D24" s="69" t="inlineStr">
        <is>
          <t>RESUELTA (2026-08-25). — Se calcula al leer (DEC-083).</t>
        </is>
      </c>
      <c r="E24" s="69" t="inlineStr">
        <is>
          <t>—</t>
        </is>
      </c>
      <c r="F24" s="69" t="inlineStr">
        <is>
          <t>Equipo de desarrollo</t>
        </is>
      </c>
      <c r="G24" s="69" t="inlineStr">
        <is>
          <t>Un disparador no puede actualizar su propia tabla (1442, comprobado), asi que el estado dejo de guardarse: CuentasCompartidas resuelve la pregunta y las dos filas dicen lo mismo por construccion</t>
        </is>
      </c>
    </row>
    <row r="25" ht="90.75" customHeight="1" s="36">
      <c r="A25" s="67" t="inlineStr">
        <is>
          <t>T-20</t>
        </is>
      </c>
      <c r="B25" s="68" t="inlineStr">
        <is>
          <t>Resuelta</t>
        </is>
      </c>
      <c r="C25" s="68" t="n"/>
      <c r="D25" s="69" t="inlineStr">
        <is>
          <t>CERRADA DEL TODO (2026-08-25, iteracion 4.10). — La primera mitad la resolvio DEC-083.</t>
        </is>
      </c>
      <c r="E25" s="69" t="inlineStr">
        <is>
          <t>—</t>
        </is>
      </c>
      <c r="F25" s="69" t="inlineStr">
        <is>
          <t>Equipo de desarrollo</t>
        </is>
      </c>
      <c r="G25" s="69" t="inlineStr">
        <is>
          <t>El resto era el 1062 del recalculo cuando dos filas del MISMO creador convergen: con la clave rotada, dos medios de la misma cuenta llevan huellas distintas, uq_cpm_open_account no los ve y los dos entran; al recalcular convergen y la transaccion se cae con un Duplicate entry en crudo, dejando el recalculo sin hacer. Y este choque no se absorbe: reintentar da la misma huella y choca igual. Es el lado opuesto de DEC-087 --el valor no lo eligio el sistema, lo eligio la realidad-- y la respuesta es contar, no recalcular: dos medios abiertos del mismo creador que son la misma cuenta, y cual sobrevive depende de cual esta verificado y si tiene pagos detras. Ahora se ve en la revision, antes de escribir nada, comparando el estado DESPUES del recalculo --mirar solo las pendientes entre si dejaria pasar el caso mas probable, una fila vieja y una nueva-- y solo sobre las filas ABIERTAS. El 1062 que sobreviva a la carrera se traduce con Choque::esDe. Ver docs/fase-4/4.10-CONVERGENCIA-DE-HUELLAS.md</t>
        </is>
      </c>
    </row>
    <row r="26" ht="34.5" customHeight="1" s="36">
      <c r="A26" s="67" t="inlineStr">
        <is>
          <t>T-21</t>
        </is>
      </c>
      <c r="B26" s="68" t="inlineStr">
        <is>
          <t>Resuelta</t>
        </is>
      </c>
      <c r="C26" s="68" t="n"/>
      <c r="D26" s="69" t="inlineStr">
        <is>
          <t>RESUELTA (2026-08-25). — «Vigente» exige valid_from &lt;= CURDATE() (DEC-084), y el mensaje de aprobacion distingue «aprobado y vigente» de «aprobado, todavia NO rige»</t>
        </is>
      </c>
      <c r="E26" s="69" t="inlineStr">
        <is>
          <t>—</t>
        </is>
      </c>
      <c r="F26" s="69" t="inlineStr">
        <is>
          <t>Equipo de desarrollo</t>
        </is>
      </c>
      <c r="G26" s="69" t="n"/>
    </row>
    <row r="27" ht="45.75" customHeight="1" s="36">
      <c r="A27" s="67" t="inlineStr">
        <is>
          <t>T-22</t>
        </is>
      </c>
      <c r="B27" s="68" t="inlineStr">
        <is>
          <t>Resuelta</t>
        </is>
      </c>
      <c r="C27" s="68" t="n"/>
      <c r="D27" s="69" t="inlineStr">
        <is>
          <t>RESUELTA (2026-08-25). — La guarda de solicitudes deja de filtrar por estado —las unicas se apoyan en identity_gate, que no lo mira— y el mensaje distingue un duplicado administrativo de una persona en lista negra.</t>
        </is>
      </c>
      <c r="E27" s="69" t="inlineStr">
        <is>
          <t>—</t>
        </is>
      </c>
      <c r="F27" s="69" t="inlineStr">
        <is>
          <t>Equipo de desarrollo</t>
        </is>
      </c>
      <c r="G27" s="69" t="inlineStr">
        <is>
          <t>La de redes sociales comprueba ademas las cuentas propias, que era el caso frecuente</t>
        </is>
      </c>
    </row>
    <row r="28" ht="34.5" customHeight="1" s="36">
      <c r="A28" s="67" t="inlineStr">
        <is>
          <t>T-23</t>
        </is>
      </c>
      <c r="B28" s="68" t="inlineStr">
        <is>
          <t>Resuelta</t>
        </is>
      </c>
      <c r="C28" s="68" t="n"/>
      <c r="D28" s="69" t="inlineStr">
        <is>
          <t>RESUELTA (2026-08-25). — DEC-086: middleware en el grupo web, pantalla de cambio, y tres reglas que hacen que sirva —la nueva distinta de la actual, se pide la actual, y sin permiso—.</t>
        </is>
      </c>
      <c r="E28" s="69" t="inlineStr">
        <is>
          <t>—</t>
        </is>
      </c>
      <c r="F28" s="69" t="inlineStr">
        <is>
          <t>Equipo de desarrollo</t>
        </is>
      </c>
      <c r="G28" s="69" t="inlineStr">
        <is>
          <t>La marca que se escribia desde 3.1 por fin significa algo</t>
        </is>
      </c>
    </row>
    <row r="29" ht="15" customHeight="1" s="36">
      <c r="A29" s="67" t="inlineStr">
        <is>
          <t>T-24</t>
        </is>
      </c>
      <c r="B29" s="68" t="inlineStr">
        <is>
          <t>Resuelta</t>
        </is>
      </c>
      <c r="C29" s="68" t="n"/>
      <c r="D29" s="69" t="inlineStr">
        <is>
          <t>RESUELTA (2026-08-25). — max(1, ...) en el config.</t>
        </is>
      </c>
      <c r="E29" s="69" t="inlineStr">
        <is>
          <t>—</t>
        </is>
      </c>
      <c r="F29" s="69" t="inlineStr">
        <is>
          <t>Equipo de desarrollo</t>
        </is>
      </c>
      <c r="G29" s="69" t="inlineStr">
        <is>
          <t>Un comentario que dice «esto no puede pasar» y no lo impide es una nota, no una regla</t>
        </is>
      </c>
    </row>
    <row r="30" ht="45.75" customHeight="1" s="36">
      <c r="A30" s="67" t="inlineStr">
        <is>
          <t>T-25</t>
        </is>
      </c>
      <c r="B30" s="68" t="inlineStr">
        <is>
          <t>Resuelta</t>
        </is>
      </c>
      <c r="C30" s="68" t="n"/>
      <c r="D30" s="69" t="inlineStr">
        <is>
          <t>RESUELTA (2026-08-25). La suite de PHPUnit se ejecuto por primera vez. — 228 pruebas, 695 aserciones.</t>
        </is>
      </c>
      <c r="E30" s="69" t="inlineStr">
        <is>
          <t>—</t>
        </is>
      </c>
      <c r="F30" s="69" t="inlineStr">
        <is>
          <t>Equipo de desarrollo</t>
        </is>
      </c>
      <c r="G30" s="69" t="inlineStr">
        <is>
          <t>Seis iteraciones (4.1–4.5 y los ~23 arreglos de las revisiones) solo se habian comprobado con suites SQL y puertas estaticas. Unico fallo real: tests/Feature/ExampleTest.php, la prueba de ejemplo de Laravel que afirma que / devuelve 200 cuando Route::redirect('/', '/panel') devuelve 302. Llevaba roja desde 1.1 y nadie lo sabia porque nada la ejecutaba: la puerta pruebas existe, pero el CI se instalo este mismo dia. RutasTest dice en su propio docblock que la *sustituye* — se escribio el reemplazo y no se borro el original. Se borra</t>
        </is>
      </c>
    </row>
    <row r="31" ht="57" customHeight="1" s="36">
      <c r="A31" s="67" t="inlineStr">
        <is>
          <t>T-26</t>
        </is>
      </c>
      <c r="B31" s="68" t="inlineStr">
        <is>
          <t>Resuelta</t>
        </is>
      </c>
      <c r="C31" s="68" t="n"/>
      <c r="D31" s="69" t="inlineStr">
        <is>
          <t>RESUELTA (2026-08-25). Verificado el verificador. — Que 228 pruebas nunca ejecutadas salgan verdes a la primera es sospechoso, asi que se comprobo con tres mutaciones.</t>
        </is>
      </c>
      <c r="E31" s="69" t="inlineStr">
        <is>
          <t>—</t>
        </is>
      </c>
      <c r="F31" s="69" t="inlineStr">
        <is>
          <t>Equipo de desarrollo</t>
        </is>
      </c>
      <c r="G31" s="69" t="inlineStr">
        <is>
          <t>Dos se detectaron por la prueba que dice detectarlas (Vigencia::puedeRelevar() sin normalizar fechas → VigenciaTest; different:actual fuera → CambioPasswordTest). La tercera sobrevivio: devolver el where('le.status','active') a Cobertura::abiertaEnPais() dejaba las quince pruebas de 4.5 en verde. La suite SQL si lo veia —el disparador de no-solapamiento rechaza el INSERT— pero ninguna prueba comprobaba que la capa PHP lo evita ANTES, o sea que el operador recibiria un 45000 en crudo. Se anadio la prueba 16, que con la mutacion se pone roja</t>
        </is>
      </c>
    </row>
    <row r="32" ht="102" customHeight="1" s="36">
      <c r="A32" s="67" t="inlineStr">
        <is>
          <t>T-27</t>
        </is>
      </c>
      <c r="B32" s="68" t="inlineStr">
        <is>
          <t>Resuelta</t>
        </is>
      </c>
      <c r="C32" s="68" t="n"/>
      <c r="D32" s="69" t="inlineStr">
        <is>
          <t>RESUELTA (2026-08-25, iteracion 4.11). — tools/pruebas/4.11-concurrencia.sh: dos clientes de verdad contra el mismo motor, sin un solo sleep de sincronizacion.</t>
        </is>
      </c>
      <c r="E32" s="69" t="inlineStr">
        <is>
          <t>—</t>
        </is>
      </c>
      <c r="F32" s="69" t="inlineStr">
        <is>
          <t>Equipo de desarrollo</t>
        </is>
      </c>
      <c r="G32" s="69" t="inlineStr">
        <is>
          <t>B pone innodb_lock_wait_timeout=1 y se afirma el 1205: mientras A tenga el bloqueo, B falla siempre, tarde lo que tarde la maquina; si no lo tiene, pasa. Los dos resultados son deterministas. Para saber que una sesion ya ejecuto se usan cerrojos con nombre: escribir una marca y buscarla en la salida no funciona porque el cliente bufferiza, y un GET_LOCK no es transaccional --se ve desde fuera aunque quien lo tomo siga con su transaccion abierta-- y se pregunta con SQL. Demuestra en el motor lo que hasta hoy estaba deducido y no medido: que el UPDATE que baja al principal no toma ningun bloqueo cuando el puesto esta libre, que por eso los dos llegan al INSERT, y que con el bloqueo de la fila del cliente se ponen en fila antes de escribir. Lleva su propio contraejemplo (con el puesto OCUPADO si espera), sin el cual la primera asercion saldria verde aunque el aparato no funcionase. Bateria: 812 (MariaDB) y 802 (MySQL 8), cero fallidas. El CI no hubo que tocarlo: los tres bloques leen SUITES desde DEC-076. Ver docs/fase-4/4.11-CONCURRENCIA.md</t>
        </is>
      </c>
    </row>
    <row r="33" ht="57" customHeight="1" s="36">
      <c r="A33" s="67" t="inlineStr">
        <is>
          <t>T-28</t>
        </is>
      </c>
      <c r="B33" s="68" t="inlineStr">
        <is>
          <t>Resuelta</t>
        </is>
      </c>
      <c r="C33" s="68" t="n"/>
      <c r="D33" s="69" t="inlineStr">
        <is>
          <t>RESUELTA (2026-08-25). El paso verificar-pantallas.py del CI estaba roto desde que se instalo el workflow. — Apuntaba a stage/routes/web.php y stage/app, que es la disposicion del area de entrega y no la del repositorio: reventaba con un FileNotFoundError sobre una carpeta que en la maquina no existe.</t>
        </is>
      </c>
      <c r="E33" s="69" t="inlineStr">
        <is>
          <t>—</t>
        </is>
      </c>
      <c r="F33" s="69" t="inlineStr">
        <is>
          <t>Equipo de desarrollo</t>
        </is>
      </c>
      <c r="G33" s="69" t="inlineStr">
        <is>
          <t>No salia verde en falso --eso habria sido peor-- pero el paso no comprobaba nada y el mensaje no decia nada util. Las dos herramientas resuelven ahora la disposicion mirando cual existe. Y la puerta nueva sale con codigo 2 si recorre CERO archivos: contar que no hay problemas cuando lo que no hay es busqueda es el modo de fallo mas caro de una comprobacion automatica, y con este van tres en dos dias (T-25, la regex de verificar-fixturas.py, y esta)</t>
        </is>
      </c>
    </row>
    <row r="34" ht="45.75" customHeight="1" s="36">
      <c r="A34" s="67" t="inlineStr">
        <is>
          <t>T-30</t>
        </is>
      </c>
      <c r="B34" s="68" t="inlineStr">
        <is>
          <t>Resuelta</t>
        </is>
      </c>
      <c r="C34" s="68" t="n"/>
      <c r="D34" s="69" t="inlineStr">
        <is>
          <t>RESUELTA (2026-08-25). — 09-NEXT-ITERATION.md llevaba desde el 21 de agosto diciendo «me detengo aqui; no hay codigo, no hay esquema y no hay wireframes».</t>
        </is>
      </c>
      <c r="E34" s="69" t="inlineStr">
        <is>
          <t>—</t>
        </is>
      </c>
      <c r="F34" s="69" t="inlineStr">
        <is>
          <t>Equipo de desarrollo</t>
        </is>
      </c>
      <c r="G34" s="69" t="inlineStr">
        <is>
          <t>Cuatro dias y 64 tablas despues, el documento cuyo unico trabajo es decir que viene ahora describia un proyecto que ya no existe. Reescrito entero: estado medido, que bloquea y a quien le toca, y la siguiente iteracion propuesta con su motivo. Y tres tareas mas estaban en el mismo estado: T-11, T-15 y T-16 decian «hecho en 3.14 / 3.11 / 3.12» y llevaban el marcador de ABIERTA. Es el mismo defecto que dejo T-12 en 📋 durante un mes estando resuelta</t>
        </is>
      </c>
    </row>
    <row r="35" ht="57" customHeight="1" s="36">
      <c r="A35" s="67" t="inlineStr">
        <is>
          <t>T-31</t>
        </is>
      </c>
      <c r="B35" s="68" t="inlineStr">
        <is>
          <t>Resuelta</t>
        </is>
      </c>
      <c r="C35" s="68" t="n"/>
      <c r="D35" s="69" t="inlineStr">
        <is>
          <t>RESUELTA (2026-08-25). Dos de las seis puertas no se podian ejecutar del lado del contenedor, y por eso se entrego codigo con tres errores de PHPStan. — PHPStan y Deptrac no estaban instalados: packagist esta bloqueado desde aqui, asi que durante toda la sesion esas dos salieron «sin comprobar» mientras las otras cuatro pasaban.</t>
        </is>
      </c>
      <c r="E35" s="69" t="inlineStr">
        <is>
          <t>—</t>
        </is>
      </c>
      <c r="F35" s="69" t="inlineStr">
        <is>
          <t>Equipo de desarrollo</t>
        </is>
      </c>
      <c r="G35" s="69" t="inlineStr">
        <is>
          <t>Se resolvio trayendo los .phar por el puente desde la maquina del usuario --phpstan.phar (27 MB), deptrac.phar (1,5 MB), larastan y sus dependencias--, mas phpstan.neon y deptrac.yaml. Costo un rato: la limpieza de rutas colgantes del autoloader de T-25 habia dejado la entrada PSR-4 de Larastan con el array VACIO, y en PHP la ultima definicion de una clave gana, asi que rellenarla arriba no servia de nada --habia que rellenar la duplicada de abajo--. Es el mismo arreglo mordiendose la cola dos iteraciones despues. Ahora puertas corre las seis aqui. Las seis, en verde</t>
        </is>
      </c>
    </row>
    <row r="36" ht="57" customHeight="1" s="36">
      <c r="A36" s="67" t="inlineStr">
        <is>
          <t>T-32</t>
        </is>
      </c>
      <c r="B36" s="68" t="inlineStr">
        <is>
          <t>Resuelta</t>
        </is>
      </c>
      <c r="C36" s="68" t="n"/>
      <c r="D36" s="69" t="inlineStr">
        <is>
          <t>RESUELTA (2026-08-25). — Los tres errores que PHPStan encontro en la maquina del usuario.</t>
        </is>
      </c>
      <c r="E36" s="69" t="inlineStr">
        <is>
          <t>—</t>
        </is>
      </c>
      <c r="F36" s="69" t="inlineStr">
        <is>
          <t>Equipo de desarrollo</t>
        </is>
      </c>
      <c r="G36" s="69" t="inlineStr">
        <is>
          <t>Dos eran de tipos puros --collect() sobre un mixed, y Collection&lt;int, object&gt; donde llega Collection&lt;int, stdClass&gt;, que no vale porque TValue no es covariante--. El tercero escondia un defecto de negocio: $antes salia de pluck() sin castear y $despues ya venia en int, asi que ['1'] !== [1] era SIEMPRE cierto y la bitacora anotaria un cambio de categorias cada vez que se guarda una marca, haya cambiado o no. No se pudo reproducir: depende de si PDO devuelve cadenas o enteros, y en el contenedor devuelve enteros. Queda fijado por MarcasTest, que documenta la intencion y dice explicitamente que no demuestra el fallo</t>
        </is>
      </c>
    </row>
    <row r="37" ht="34.5" customHeight="1" s="36">
      <c r="A37" s="67" t="inlineStr">
        <is>
          <t>T-33</t>
        </is>
      </c>
      <c r="B37" s="68" t="inlineStr">
        <is>
          <t>Resuelta</t>
        </is>
      </c>
      <c r="C37" s="68" t="n"/>
      <c r="D37" s="69" t="inlineStr">
        <is>
          <t>RESUELTA (2026-08-25, iteracion 7.3). — ck_creq_deadline y ck_creq_permanence.</t>
        </is>
      </c>
      <c r="E37" s="69" t="inlineStr">
        <is>
          <t>—</t>
        </is>
      </c>
      <c r="F37" s="69" t="inlineStr">
        <is>
          <t>Equipo de desarrollo</t>
        </is>
      </c>
      <c r="G37" s="69" t="inlineStr">
        <is>
          <t>Los acotaba solo GuardarRequisitoRequest, y permanence_days es «cuanto debe seguir publicado»: de ahi sale lo que se le exige al creador y lo que se le promete al cliente. Un 100.000 --273 anos-- entraba por cualquier importacion, y lo que se rompe no es la base sino un acuerdo que nadie puede cumplir</t>
        </is>
      </c>
    </row>
    <row r="38" ht="23.25" customHeight="1" s="36">
      <c r="A38" s="67" t="inlineStr">
        <is>
          <t>T-36</t>
        </is>
      </c>
      <c r="B38" s="68" t="inlineStr">
        <is>
          <t>Resuelta</t>
        </is>
      </c>
      <c r="C38" s="68" t="n"/>
      <c r="D38" s="69" t="inlineStr">
        <is>
          <t>RESUELTA (2026-08-26, iteracion 7.6b). — Ver DEC-126.</t>
        </is>
      </c>
      <c r="E38" s="69" t="inlineStr">
        <is>
          <t>—</t>
        </is>
      </c>
      <c r="F38" s="69" t="inlineStr">
        <is>
          <t>Equipo de desarrollo</t>
        </is>
      </c>
      <c r="G38" s="69" t="inlineStr">
        <is>
          <t>La pieza ya estaba: Cuentas::paraCreador() y Cuentas::paraInterno() se diferencian en tres argumentos, y eso es lo que se cobro la decision de 5.9 de poner esa clase en Identity en vez de en Creator</t>
        </is>
      </c>
    </row>
    <row r="39" ht="15" customHeight="1" s="36">
      <c r="A39" s="67" t="inlineStr">
        <is>
          <t>T-38</t>
        </is>
      </c>
      <c r="B39" s="68" t="inlineStr">
        <is>
          <t>Resuelta</t>
        </is>
      </c>
      <c r="C39" s="68" t="n"/>
      <c r="D39" s="69" t="inlineStr">
        <is>
          <t>RESUELTA (2026-08-26, iteracion 7.6b). — Ver DEC-124.</t>
        </is>
      </c>
      <c r="E39" s="69" t="inlineStr">
        <is>
          <t>—</t>
        </is>
      </c>
      <c r="F39" s="69" t="inlineStr">
        <is>
          <t>Equipo de desarrollo</t>
        </is>
      </c>
      <c r="G39" s="69" t="inlineStr">
        <is>
          <t>Ver docs/fase-7/7.6b-CABOS-SUELTOS.md</t>
        </is>
      </c>
    </row>
    <row r="40" ht="57" customHeight="1" s="36">
      <c r="A40" s="67" t="inlineStr">
        <is>
          <t>T-39</t>
        </is>
      </c>
      <c r="B40" s="68" t="inlineStr">
        <is>
          <t>Resuelta</t>
        </is>
      </c>
      <c r="C40" s="68" t="n"/>
      <c r="D40" s="69" t="inlineStr">
        <is>
          <t>RESUELTA (2026-08-26, iteracion 7.6). Un fallo INTERMITENTE en ConFixturas que llevaba desde 4.9 escondido. — creadorActivo() pasaba eligible_from =&gt; now()-&gt;subDay() y medioDePago() ponia verified_at =&gt; now()-&gt;subDay(): dos llamadas distintas, separadas por la creacion de un usuario.</t>
        </is>
      </c>
      <c r="E40" s="69" t="inlineStr">
        <is>
          <t>—</t>
        </is>
      </c>
      <c r="F40" s="69" t="inlineStr">
        <is>
          <t>Equipo de desarrollo</t>
        </is>
      </c>
      <c r="G40" s="69" t="inlineStr">
        <is>
          <t>ck_cpm_eligible_after exige eligible_from &gt;= verified_at --un enfriamiento negativo no significa nada-- y cuando las dos llamadas caian a los dos lados de un segundo, la base rechazaba el INSERT. Salio una vez en una corrida de 471 pruebas, en CandidatosTest, que no tiene nada que ver con medios de pago: la peor forma de fallar, porque parece un problema de la prueba que toco. Ahora medioDePago() toma UN instante y deriva de el las dos columnas</t>
        </is>
      </c>
    </row>
    <row r="41" ht="57" customHeight="1" s="36">
      <c r="A41" s="67" t="inlineStr">
        <is>
          <t>T-40</t>
        </is>
      </c>
      <c r="B41" s="68" t="inlineStr">
        <is>
          <t>Resuelta</t>
        </is>
      </c>
      <c r="C41" s="68" t="n"/>
      <c r="D41" s="69" t="inlineStr">
        <is>
          <t>RESUELTA (2026-08-26). Un 500 al repetir un formato en el brief de UN MERCADO, encontrado por el usuario probando. — campaign_requirements tiene DOS indices unicos --uq_creq_general y uq_creq_market, que llego en 7.3-- y el controlador solo traducia el primero: cuando se escribio, los mercados no existian.</t>
        </is>
      </c>
      <c r="E41" s="69" t="inlineStr">
        <is>
          <t>—</t>
        </is>
      </c>
      <c r="F41" s="69" t="inlineStr">
        <is>
          <t>Equipo de desarrollo</t>
        </is>
      </c>
      <c r="G41" s="69" t="inlineStr">
        <is>
          <t>El 1062 del segundo se escapaba del catch y salia la traza entera. No fallaba en pruebas: la suite SQL comprobaba que la base lo rechaza --y lo rechaza-- pero nadie comprobaba que la PANTALLA lo explique. Es la leccion de siempre un piso mas arriba: que la regla exista no significa que alguien la sepa contar</t>
        </is>
      </c>
    </row>
    <row r="42" ht="57" customHeight="1" s="36">
      <c r="A42" s="67" t="inlineStr">
        <is>
          <t>T-41</t>
        </is>
      </c>
      <c r="B42" s="68" t="inlineStr">
        <is>
          <t>Resuelta</t>
        </is>
      </c>
      <c r="C42" s="68" t="n"/>
      <c r="D42" s="69" t="inlineStr">
        <is>
          <t>RESUELTA (2026-08-26). La bitacora entera caida por UNA fila con una lista dentro, encontrado por el usuario probando. — MarcasController guarda categorias =&gt; ['antes' =&gt; [1,2], 'despues' =&gt; [3]] --correcto: una marca tiene varias categorias y el cambio interesante es la lista entera-- y la vista hacia {{ $v['antes'] }} a pelo.</t>
        </is>
      </c>
      <c r="E42" s="69" t="inlineStr">
        <is>
          <t>—</t>
        </is>
      </c>
      <c r="F42" s="69" t="inlineStr">
        <is>
          <t>Equipo de desarrollo</t>
        </is>
      </c>
      <c r="G42" s="69" t="inlineStr">
        <is>
          <t>Con un array eso es htmlspecialchars(): must be of type string, array given, o sea un 500 que se lleva la pagina entera: bastaba UNA fila asi para no poder ver NINGUNA. Y la bitacora es precisamente lo que se mira cuando algo ha ido mal. Se arregla en Bitacora::legible() y no en la vista, porque la clase que decide que se guarda es la que sabe como se lee, y porque hay filas viejas con arrays dentro</t>
        </is>
      </c>
    </row>
    <row r="43" ht="45.75" customHeight="1" s="36">
      <c r="A43" s="67" t="inlineStr">
        <is>
          <t>T-42</t>
        </is>
      </c>
      <c r="B43" s="68" t="inlineStr">
        <is>
          <t>Resuelta</t>
        </is>
      </c>
      <c r="C43" s="68" t="n"/>
      <c r="D43" s="69" t="inlineStr">
        <is>
          <t>RESUELTA (2026-08-26). verificar-fixturas.py no sabia distinguir un fixture invalido A PROPOSITO. — Una prueba que afirma «la base rechaza esto» necesita escribir una fila mala, y la herramienta la marcaba en rojo con toda la razon tecnica y ninguna practica.</t>
        </is>
      </c>
      <c r="E43" s="69" t="inlineStr">
        <is>
          <t>—</t>
        </is>
      </c>
      <c r="F43" s="69" t="inlineStr">
        <is>
          <t>Equipo de desarrollo</t>
        </is>
      </c>
      <c r="G43" s="69" t="inlineStr">
        <is>
          <t>Las que afirman un rechazo de UNICIDAD se escapaban por casualidad --un insert aislado no choca con nada-- y las que afirman un CHECK de una sola fila, no. Ahora hay un marcador que se escribe a mano --lo que impide ponerlo por costumbre-- y las excepciones se cuentan y se imprimen SIEMPRE: una lista que nadie mira crece sola</t>
        </is>
      </c>
    </row>
    <row r="44" ht="68.25" customHeight="1" s="36">
      <c r="A44" s="67" t="inlineStr">
        <is>
          <t>T-43</t>
        </is>
      </c>
      <c r="B44" s="68" t="inlineStr">
        <is>
          <t>Resuelta</t>
        </is>
      </c>
      <c r="C44" s="68" t="n"/>
      <c r="D44" s="69" t="inlineStr">
        <is>
          <t>RESUELTA (2026-08-26). Cuatro mensajes que en PRODUCCION no caben, rotos desde 7.4 y verdes en las tres bases. — MESSAGE_TEXT es VARCHAR(128) y MySQL 8 y Percona 5.7 no truncan: sueltan 1648 Data too long for condition item en lugar del 45000 que el disparador queria dar.</t>
        </is>
      </c>
      <c r="E44" s="69" t="inlineStr">
        <is>
          <t>8.1</t>
        </is>
      </c>
      <c r="F44" s="69" t="inlineStr">
        <is>
          <t>Equipo de desarrollo</t>
        </is>
      </c>
      <c r="G44" s="69" t="inlineStr">
        <is>
          <t>MariaDB si lo deja pasar, o sea que el motor de desarrollo perdona y el de produccion no. Ninguna suite lo vio porque todas comprobaban «esto tiene que fallar» y 1648 tambien es fallar: el rechazo se leia igual estuviera la regla puesta o rota. Se cierra por los dos lados: los cuatro mensajes caben ahora con margen, y tools/verificar-mensajes.py lee information_schema.TRIGGERS de la base de verdad --no el fuente, que se arma con concatenacion de PHP en las migraciones y con heredocs en el esquema-- y falla si alguno pasa de 128. Corre contra los dos motores en correr-todo.sh y contra Percona en el CI. Y la leccion se aplico donde nacio: 7.3, 7.4, 7.6 y 8.1 ya no comprueban «esto falla» sino «esto falla POR ESTO»</t>
        </is>
      </c>
    </row>
    <row r="45" ht="68.25" customHeight="1" s="36">
      <c r="A45" s="67" t="inlineStr">
        <is>
          <t>T-44</t>
        </is>
      </c>
      <c r="B45" s="68" t="inlineStr">
        <is>
          <t>Resuelta</t>
        </is>
      </c>
      <c r="C45" s="68" t="n"/>
      <c r="D45" s="69" t="inlineStr">
        <is>
          <t>RESUELTA (2026-08-26). Una suite que se creia limpia y corria sobre filas de otra. — 8.1-entregables.sh abria con DELETE FROM deliverables y exigia la tabla vacia.</t>
        </is>
      </c>
      <c r="E45" s="69" t="inlineStr">
        <is>
          <t>8.1</t>
        </is>
      </c>
      <c r="F45" s="69" t="inlineStr">
        <is>
          <t>Equipo de desarrollo</t>
        </is>
      </c>
      <c r="G45" s="69" t="inlineStr">
        <is>
          <t>El DELETE fallaba con 1451 --content_reviews y publications apuntan a esas filas con ON DELETE RESTRICT, y quien las creo fue la suite 2.12, que corre antes en la misma base-- y el 2&gt;/dev/null se comia el error. Resultado: cinco fallos, y varias aserciones que esperaban RECHAZO pasando por el motivo equivocado. La premisa correcta no era «la tabla esta vacia» --nunca lo va a estar, y exigirlo es pedirle a una suite hermana que no haga su trabajo-- sino «no hay filas MIAS». La suite trabaja ahora sobre su propia participacion, elegida POR NOMBRE y no por ORDER BY id LIMIT 1, y comprueba que su limpieza funciono en vez de mandar el error a /dev/null</t>
        </is>
      </c>
    </row>
    <row r="46" ht="34.5" customHeight="1" s="36">
      <c r="A46" s="67" t="inlineStr">
        <is>
          <t>T-45</t>
        </is>
      </c>
      <c r="B46" s="68" t="inlineStr">
        <is>
          <t>Resuelta</t>
        </is>
      </c>
      <c r="C46" s="68" t="n"/>
      <c r="D46" s="69" t="inlineStr">
        <is>
          <t>RESUELTA (2026-08-26). «Un veredicto no se edita» lo decia el documento de 2.12 desde el primer dia y no lo impedia nada. — content_reviews se describia como append-only y aceptaba UPDATE sin mas.</t>
        </is>
      </c>
      <c r="E46" s="69" t="inlineStr">
        <is>
          <t>8.3</t>
        </is>
      </c>
      <c r="F46" s="69" t="inlineStr">
        <is>
          <t>Equipo de desarrollo</t>
        </is>
      </c>
      <c r="G46" s="69" t="inlineStr">
        <is>
          <t>Un veredicto justifica una ronda cobrada: si se puede reescribir, reconstruir por que se facturo algo depende de que nadie lo tocara. tg_cvw_inmutable bloquea el UPDATE ENTERO y no columna por columna, porque no hay ninguna columna de esa tabla que tenga sentido cambiar despues</t>
        </is>
      </c>
    </row>
    <row r="47" ht="57" customHeight="1" s="36">
      <c r="A47" s="67" t="inlineStr">
        <is>
          <t>T-46</t>
        </is>
      </c>
      <c r="B47" s="68" t="inlineStr">
        <is>
          <t>Resuelta</t>
        </is>
      </c>
      <c r="C47" s="68" t="n"/>
      <c r="D47" s="69" t="inlineStr">
        <is>
          <t>RESUELTA (2026-08-26). Una puerta que daba rojo por algo que nadie podia arreglar, desde 4.9. — verificar-equivalencia.py denunciaba una diferencia entre motores que no era del proyecto: MariaDB no tiene tipo JSON --es LONGTEXT mas un CHECK implicito json_valid(&lt;columna&gt;) que se llama COMO LA COLUMNA-- y MySQL y Percona si.</t>
        </is>
      </c>
      <c r="E47" s="69" t="inlineStr">
        <is>
          <t>8.3</t>
        </is>
      </c>
      <c r="F47" s="69" t="inlineStr">
        <is>
          <t>Equipo de desarrollo</t>
        </is>
      </c>
      <c r="G47" s="69" t="inlineStr">
        <is>
          <t>En el CI salia verde porque alli la base con CHECK es MySQL; en la maquina de quien desarrolla, roja siempre, y una puerta que da rojo por algo que no se puede arreglar ensena a ignorar el rojo. Se ignora ahora por las DOS condiciones a la vez --nombre que no empieza por ck_ Y clausula con json_valid--: el proyecto declara cuatro CHECK de json_valid a proposito (ck_domain_events_payload, ck_audit_logs_changes, ck_pev_payload, ck_sas_extra) y filtrar solo por la clausula los borraba a los cuatro. Esa habria sido la version mala del arreglo: una puerta que deja de ver lo que existe para vigilar</t>
        </is>
      </c>
    </row>
    <row r="48" ht="79.5" customHeight="1" s="36">
      <c r="A48" s="67" t="inlineStr">
        <is>
          <t>T-47</t>
        </is>
      </c>
      <c r="B48" s="68" t="inlineStr">
        <is>
          <t>Resuelta</t>
        </is>
      </c>
      <c r="C48" s="68" t="n"/>
      <c r="D48" s="69" t="inlineStr">
        <is>
          <t>RESUELTA (2026-08-26). El veto de «no se entrega sobre un entregable cerrado» vivia en el servicio desde 8.1 y la base no lo conocia. — Entregables::vetoParaEntregar() lo impedia desde la pantalla y NADA lo respaldaba: un comando, un import o la pantalla de manana podian meter una version encima de algo ya aprobado, y el entregable pasaria a tener aprobado un contenido que nadie aprobo --con el puntero senalando la version vieja y una mas reciente encima--.</t>
        </is>
      </c>
      <c r="E48" s="69" t="inlineStr">
        <is>
          <t>8.2</t>
        </is>
      </c>
      <c r="F48" s="69" t="inlineStr">
        <is>
          <t>Equipo de desarrollo</t>
        </is>
      </c>
      <c r="G48" s="69" t="inlineStr">
        <is>
          <t>tg_dv_entregable_abierto. Es la TERCERA vez en esta fase que aparece la misma forma: la regla escrita en el servicio y la base sin enterarse</t>
        </is>
      </c>
    </row>
    <row r="49" ht="57" customHeight="1" s="36">
      <c r="A49" s="67" t="inlineStr">
        <is>
          <t>T-48</t>
        </is>
      </c>
      <c r="B49" s="68" t="inlineStr">
        <is>
          <t>Resuelta</t>
        </is>
      </c>
      <c r="C49" s="68" t="n"/>
      <c r="D49" s="69" t="inlineStr">
        <is>
          <t>RESUELTA (2026-08-26). Una asercion que dependia del ORDEN en que un motor evalua los CHECK. — La suite de 8.3 afirmaba «aprobar sin decir quien se rechaza por ck_del_aprobador».</t>
        </is>
      </c>
      <c r="E49" s="69" t="inlineStr">
        <is>
          <t>8.2</t>
        </is>
      </c>
      <c r="F49" s="69" t="inlineStr">
        <is>
          <t>Equipo de desarrollo</t>
        </is>
      </c>
      <c r="G49" s="69" t="inlineStr">
        <is>
          <t>Al anadir ck_del_approved_version, MariaDB siguio rechazando por el primero y MySQL empezo a rechazar por el segundo: el orden no esta garantizado, y una asercion que depende de el no afirma lo que dice. Se arreglo dandole el puntero, para que lo unico que falte sea la firma. Es T-43 en otra forma --un rechazo solo prueba algo si rechaza POR SU MOTIVO-- y lo cazo el mismo mecanismo: la suite exige el nombre de la restriccion, no un error cualquiera. De paso, la limpieza de 8.3 dejo de funcionar en silencio --borrar la version apuntada es justo lo que la clave ajena impide-- y lo cazo la asercion de premisa que 8.1 introdujo</t>
        </is>
      </c>
    </row>
    <row r="50" ht="45.75" customHeight="1" s="36">
      <c r="A50" s="67" t="inlineStr">
        <is>
          <t>T-49</t>
        </is>
      </c>
      <c r="B50" s="68" t="inlineStr">
        <is>
          <t>Resuelta</t>
        </is>
      </c>
      <c r="C50" s="68" t="n"/>
      <c r="D50" s="69" t="inlineStr">
        <is>
          <t>RESUELTA (2026-08-26). La suite de 2.12 empezo a pasar en un motor y no en el otro. — Al exigir 8.6 que un entregable este APROBADO antes de publicarlo, esa suite paso a hacer UPDATE deliverables ...</t>
        </is>
      </c>
      <c r="E50" s="69" t="inlineStr">
        <is>
          <t>8.6</t>
        </is>
      </c>
      <c r="F50" s="69" t="inlineStr">
        <is>
          <t>Equipo de desarrollo</t>
        </is>
      </c>
      <c r="G50" s="69" t="inlineStr">
        <is>
          <t>WHERE id=(SELECT ... FROM deliverables). MariaDB lo tolera; MySQL da 1093 You can't specify target table for update in FROM clause. Es la misma trampa que la suite de 8.1 ya documentaba en otro sitio, y se arregla igual: tabla derivada. De paso aparecio que esa suite insertaba entregables sin submitted_at --algo que ck_del_approved, de la propia 2.12, prohibia desde el primer dia-- y nadie lo habia visto porque nadie habia intentado aprobar nada alli</t>
        </is>
      </c>
    </row>
    <row r="51" ht="68.25" customHeight="1" s="36">
      <c r="A51" s="67" t="inlineStr">
        <is>
          <t>T-50</t>
        </is>
      </c>
      <c r="B51" s="68" t="inlineStr">
        <is>
          <t>Resuelta</t>
        </is>
      </c>
      <c r="C51" s="68" t="n"/>
      <c r="D51" s="69" t="inlineStr">
        <is>
          <t>RESUELTA (2026-08-26). Una publicacion rechazada bloqueaba su propio enlace, y el del vecino. — uq_pub_fingerprint era unica GLOBAL desde la Fase 2 --el mismo post no se reclama dos veces--, y al conectar el rechazo salio el agujero: se rechaza porque «el enlace no lleva a ningun post», se le pide al creador que arregle el post y vuelva a registrar el mismo enlace --que es lo que el correo le dice-- y se estrella con un 1062.</t>
        </is>
      </c>
      <c r="E51" s="69" t="inlineStr">
        <is>
          <t>8.7</t>
        </is>
      </c>
      <c r="F51" s="69" t="inlineStr">
        <is>
          <t>Equipo de desarrollo</t>
        </is>
      </c>
      <c r="G51" s="69" t="inlineStr">
        <is>
          <t>El caso hermano es peor: se rechaza el post de Ana porque «esta publicado en otra cuenta», esa cuenta es la de Luis, y Luis no puede registrar su propio post. Una fila rechazada no reclama nada: se miro y no valia. La unicidad pasa a mirar solo las VIVAS con una columna puerta --viva_gate-- y el filtro equivalente vive en Publicaciones::reclamadoPorOtro() para que el aviso llegue con palabras antes que el 1062. De paso, ck_pev_screenshot cierra un hueco de 2.12: ck_pev_content solo pedia «algo», asi que una fila que decia screenshot y traia un 200 pelado se leia como una captura que nadie hizo --y esa es justo la que va a mirar quien discuta un pago--</t>
        </is>
      </c>
    </row>
    <row r="52" ht="57" customHeight="1" s="36">
      <c r="A52" s="67" t="inlineStr">
        <is>
          <t>T-51</t>
        </is>
      </c>
      <c r="B52" s="68" t="inlineStr">
        <is>
          <t>Resuelta</t>
        </is>
      </c>
      <c r="C52" s="68" t="n"/>
      <c r="D52" s="69" t="inlineStr">
        <is>
          <t>RESUELTA (2026-08-27). Dos aserciones mas que dependian del orden de evaluacion del motor. — is_live = 7 sin notas viola ck_pc_is_live y ck_pc_caida_motivada a la vez; status = 'expired' con la permanencia puesta viola ck_pub_status y ck_pub_permanence.</t>
        </is>
      </c>
      <c r="E52" s="69" t="inlineStr">
        <is>
          <t>8.8</t>
        </is>
      </c>
      <c r="F52" s="69" t="inlineStr">
        <is>
          <t>Equipo de desarrollo</t>
        </is>
      </c>
      <c r="G52" s="69" t="inlineStr">
        <is>
          <t>MariaDB contestaba con el primero de cada par y MySQL 8 con el segundo: la suite salia verde en un motor y roja en el otro sin que el esquema tuviera nada malo. Es T-48 otra vez y el arreglo es el mismo --dejar la fila con UNA sola cosa mal--, porque un rechazo solo prueba algo si rechaza por SU motivo. La misma leccion entro en el diseno del disparador: la rama de fulfilled de tg_pub_permanencia no comprueba los NULL a proposito. Con NULL la comparacion es NULL, el IF no entra, y de los NULL responde ck_pub_fulfilled; si el disparador los cubriera tambien, ese CHECK no seria asertable en ningun motor</t>
        </is>
      </c>
    </row>
    <row r="53" ht="90.75" customHeight="1" s="36">
      <c r="A53" s="67" t="inlineStr">
        <is>
          <t>T-52</t>
        </is>
      </c>
      <c r="B53" s="68" t="inlineStr">
        <is>
          <t>Resuelta</t>
        </is>
      </c>
      <c r="C53" s="68" t="n"/>
      <c r="D53" s="69" t="inlineStr">
        <is>
          <t>RESUELTA (2026-08-27). El CI llevaba VEINTICUATRO ejecuciones en rojo por un archivo que yo no podia ver. — Ultimo verde: la ejecucion 24, en 4.1 Clientes; desde 4.2 Marcas todas rojas, y el paso 7 del protocolo --«comprobar que el CI corrio y en verde»-- no se cumplia.</t>
        </is>
      </c>
      <c r="E53" s="69" t="inlineStr">
        <is>
          <t>8.8</t>
        </is>
      </c>
      <c r="F53" s="69" t="inlineStr">
        <is>
          <t>Equipo de desarrollo</t>
        </is>
      </c>
      <c r="G53" s="69" t="inlineStr">
        <is>
          <t>La causa: resources/views/welcome.blade.php, la portada que trae Laravel de fabrica, llama a route('login') y route('register') y este proyecto no declara ninguna de las dos. Nadie renderizaba esa vista --la raiz es Route::redirect('/', '/panel')-- asi que no rompia nada visible, pero verificar-pantallas.py la veia y tenia razon. Por que mis puertas no la vieron: mi contenedor no tiene una copia del repositorio sino stage/, que es SOLO lo que yo he entregado, y la herramienta elige la raiz con CODIGO = RAIZ / 'stage' if (RAIZ/'stage/app').is_dir() else RAIZ. En su maquina escanea el repositorio entero; aqui escanea lo mio. Todo archivo que exista solo en su copia es invisible para mis seis puertas. Se borra el archivo --era codigo muerto de laravel new-- y se documenta el punto ciego en docs/19 §4, porque el que vuelva a pasar depende de que alguien se acuerde. Dato que la ejecucion regalo de paso: todo lo anterior a ese paso estaba VERDE, Percona 5.7 incluido</t>
        </is>
      </c>
    </row>
    <row r="54" ht="57" customHeight="1" s="36">
      <c r="A54" s="67" t="inlineStr">
        <is>
          <t>T-53</t>
        </is>
      </c>
      <c r="B54" s="68" t="inlineStr">
        <is>
          <t>Resuelta</t>
        </is>
      </c>
      <c r="C54" s="68" t="n"/>
      <c r="D54" s="69" t="inlineStr">
        <is>
          <t>RESUELTA (2026-08-27). tg_del_rondas nacio demasiado estricto y lo dijeron siete pruebas. — La primera version exigia +1 exacto y rompio siete pruebas que ponian el contador a 2 para simular una pieza gastada --y tenian razon: es un estado que la aplicacion alcanza sola, y una importacion desde otro sistema tendria el mismo problema--.</t>
        </is>
      </c>
      <c r="E54" s="69" t="inlineStr">
        <is>
          <t>8.4</t>
        </is>
      </c>
      <c r="F54" s="69" t="inlineStr">
        <is>
          <t>Tu contador</t>
        </is>
      </c>
      <c r="G54" s="69" t="inlineStr">
        <is>
          <t>Se relaja a MONOTONO porque el dano no es simetrico: bajarlo no necesita la firma de nadie y regala rondas ya gastadas; subirlo de golpe hace que la siguiente correccion del cliente se cobre, y eso ya exige firma y decision de facturacion, las dos auditadas. Se cierra la mitad que no tiene dueno y se deja escrito por que la otra queda abierta</t>
        </is>
      </c>
    </row>
    <row r="55" ht="45.75" customHeight="1" s="36">
      <c r="A55" s="67" t="inlineStr">
        <is>
          <t>T-54</t>
        </is>
      </c>
      <c r="B55" s="68" t="inlineStr">
        <is>
          <t>Resuelta</t>
        </is>
      </c>
      <c r="C55" s="68" t="n"/>
      <c r="D55" s="69" t="inlineStr">
        <is>
          <t>RESUELTA (2026-08-27). Dos suites estaban verdes por una premisa que nunca escribieron. — Al poner tg_cvw_techo se cayeron dos aserciones antiguas, y las dos tenian razon en caerse.</t>
        </is>
      </c>
      <c r="E55" s="69" t="inlineStr">
        <is>
          <t>8.4</t>
        </is>
      </c>
      <c r="F55" s="69" t="inlineStr">
        <is>
          <t>Tu contador</t>
        </is>
      </c>
      <c r="G55" s="69" t="inlineStr">
        <is>
          <t>8.3 afirmaba over_included = 1 con el contador a CERO: nunca fue un estado real, pasaba porque nada miraba el contador. 2.12 insertaba una correccion que gastaba ronda sin decir de quien era, y el valor por defecto de reviewer_side es platform --o sea que la suite fundacional del modulo llevaba desde la Fase 2 fijando como correcto justo lo que DEC-133 prohibe--. Las dos escriben ahora su premisa y la afirman. Mismo patron que 8.1: una asercion solo prueba algo si su premisa es cierta</t>
        </is>
      </c>
    </row>
    <row r="56" ht="57" customHeight="1" s="36">
      <c r="A56" s="67" t="inlineStr">
        <is>
          <t>T-55</t>
        </is>
      </c>
      <c r="B56" s="68" t="inlineStr">
        <is>
          <t>Resuelta</t>
        </is>
      </c>
      <c r="C56" s="68" t="n"/>
      <c r="D56" s="69" t="inlineStr">
        <is>
          <t>RESUELTA (2026-08-27). Nueve suites se habrian puesto verdes con el motor apagado. — Los cuatro ayudantes estaban COPIADOS en las treinta suites y el QA de fase los midio: seis variantes de lo mismo, y nueve sin la guarda de conexion.</t>
        </is>
      </c>
      <c r="E56" s="69" t="inlineStr">
        <is>
          <t>8.11</t>
        </is>
      </c>
      <c r="F56" s="69" t="inlineStr">
        <is>
          <t>Equipo de desarrollo</t>
        </is>
      </c>
      <c r="G56" s="69" t="inlineStr">
        <is>
          <t>Sin ella, un motor caido pone en verde cada probar ... RECHAZO, porque no poder conectar tambien produce la palabra ERROR. Medido, con la suite de 7.6 contra una base que no existe: el ayudante viejo daba 3 correctas, 0 fallidas; el compartido da 0 correctas, 39 fallidas. Y no era una leccion nueva: la suite de 2.13 lleva escrito desde la Fase 2 «25 aserciones en verde contra un socket muerto». Se arreglo alli, en un archivo, y habia treinta --las nueve sin guarda se escribieron DESPUES de esa leccion--. Misma forma que el defecto que hizo nacer SUITES en 3.12</t>
        </is>
      </c>
    </row>
    <row r="57" ht="57" customHeight="1" s="36">
      <c r="A57" s="67" t="inlineStr">
        <is>
          <t>T-56</t>
        </is>
      </c>
      <c r="B57" s="68" t="inlineStr">
        <is>
          <t>Resuelta</t>
        </is>
      </c>
      <c r="C57" s="68" t="n"/>
      <c r="D57" s="69" t="inlineStr">
        <is>
          <t>RESUELTA (2026-08-27). cargosPendientes() no sabia cuales estaban pendientes. — Devolvia TODAS las rondas de mas de la campana, para siempre, porque no filtra por «facturada» --no existe esa columna--.</t>
        </is>
      </c>
      <c r="E57" s="69" t="inlineStr">
        <is>
          <t>8.11</t>
        </is>
      </c>
      <c r="F57" s="69" t="inlineStr">
        <is>
          <t>Equipo de desarrollo</t>
        </is>
      </c>
      <c r="G57" s="69" t="inlineStr">
        <is>
          <t>El dia que F9 facturara la primera, la lista la seguiria enseñando como pendiente. Y no se arregla anadiendo invoiced_at: content_reviews es append-only desde 8.3 y tg_cvw_inmutable bloquea TODO update, asi que nadie puede sellar la fila; el enlace tiene que ir al reves, de la linea de factura a la revision, y eso lo decide F9 (Q-61). Hasta entonces el metodo se llama rondasCobrables(), que es lo que hace, y la pantalla dice «no sabe cuales ya se facturaron» en vez de «pendientes de facturar». Nadie lo habria notado hasta emitir la primera factura repetida</t>
        </is>
      </c>
    </row>
    <row r="58" ht="45.75" customHeight="1" s="36">
      <c r="A58" s="67" t="inlineStr">
        <is>
          <t>T-57</t>
        </is>
      </c>
      <c r="B58" s="68" t="inlineStr">
        <is>
          <t>Resuelta</t>
        </is>
      </c>
      <c r="C58" s="68" t="n"/>
      <c r="D58" s="69" t="inlineStr">
        <is>
          <t>RESUELTA (2026-08-27). El contador de columnas puerta iba por 17 y son 24. — Los documentos y los comentarios del esquema las venian numerando a mano --«la decimoquinta», «la decimosexta»-- y el numero se heredaba de un documento al siguiente sin que nadie contara.</t>
        </is>
      </c>
      <c r="E58" s="69" t="inlineStr">
        <is>
          <t>8.11</t>
        </is>
      </c>
      <c r="F58" s="69" t="inlineStr">
        <is>
          <t>Tu contador</t>
        </is>
      </c>
      <c r="G58" s="69" t="inlineStr">
        <is>
          <t>Se habian escapado cuatro que no se llaman _gate: open_email_key, active_creator_key, email_active_key y sonda_dia. Ahora sale de contar el esquema, en verificar-nombres-sql.py, y los ordinales desaparecen de los documentos. La primera version del contador encontro 11 de 24 --partia la definicion de la tabla por comas y DECIMAL(18,4) la rompia por la mitad-- y la segunda 23 de 24, porque contaba solo los CREATE TABLE y users.email_active_key se anade con un ALTER. «Casi correcto» es la peor clase de numero</t>
        </is>
      </c>
    </row>
    <row r="59" ht="68.25" customHeight="1" s="36">
      <c r="A59" s="67" t="inlineStr">
        <is>
          <t>T-58</t>
        </is>
      </c>
      <c r="B59" s="68" t="inlineStr">
        <is>
          <t>Resuelta</t>
        </is>
      </c>
      <c r="C59" s="68" t="n"/>
      <c r="D59" s="69" t="inlineStr">
        <is>
          <t>RESUELTA (2026-08-27). La ficha de campana ensenaba la sociedad que tocaria HOY bajo el rotulo de la guardada. — El bloque imprimia $cobertura-&gt;entidad-&gt;legal_name --lo que devuelve el resolver-- con la unica condicion de que la campana tuviera alguna sociedad guardada.</t>
        </is>
      </c>
      <c r="E59" s="69" t="inlineStr">
        <is>
          <t>8.12</t>
        </is>
      </c>
      <c r="F59" s="69" t="inlineStr">
        <is>
          <t>Equipo de desarrollo</t>
        </is>
      </c>
      <c r="G59" s="69" t="inlineStr">
        <is>
          <t>El comentario de encima del bloque decia literalmente «se ensena el dato GUARDADO, no el que devolveria la cobertura hoy… cuando los dos no coinciden se dice»: describia codigo que nunca se escribio. Mientras nadie tocara legal_entity_countries las dos respuestas coinciden y no se nota; el dia que alguien corrija un periodo, la pantalla nombra una sociedad y la factura la emite otra. Es BR-LE-001 y es la misma familia que T-54: verde por una premisa que nadie escribio. Ahora Campanas::quienFacturaEsta() devuelve las dos y si discrepan, manda la guardada y se avisa; la prueba que muerde es la negativa --el nombre de la sociedad de relevo no puede aparecer en la ficha--</t>
        </is>
      </c>
    </row>
    <row r="60" ht="68.25" customHeight="1" s="36">
      <c r="A60" s="67" t="inlineStr">
        <is>
          <t>T-59</t>
        </is>
      </c>
      <c r="B60" s="68" t="inlineStr">
        <is>
          <t>Resuelta</t>
        </is>
      </c>
      <c r="C60" s="68" t="n"/>
      <c r="D60" s="69" t="inlineStr">
        <is>
          <t>RESUELTA (2026-08-27). DEC-156 afirmaba que «payouts no tiene ninguna columna de sociedad» y era falso. — Lo escribi yo el mismo dia, mirando payouts y no mirando payout_batches, que si tiene legal_entity_id con su clave ajena fk_pbatch_entity desde la migracion de finanzas --y un pago no puede existir sin lote, a proposito, para que la doble firma no tenga puerta trasera--.</t>
        </is>
      </c>
      <c r="E60" s="69" t="inlineStr">
        <is>
          <t>8.13</t>
        </is>
      </c>
      <c r="F60" s="69" t="inlineStr">
        <is>
          <t>Equipo de desarrollo</t>
        </is>
      </c>
      <c r="G60" s="69" t="inlineStr">
        <is>
          <t>O sea que quien paga si esta dicho. Lo que no esta dicho es que sea quien debe: ledger_entries ata un asiento a su campaign_creator_id y a su payout_id, la campana lleva su billing_legal_entity_id, y entre esos dos extremos no hay ninguna restriccion. Es el mismo error que T-58 una hora antes --afirmar sobre un dato sin leer la fila-- y por eso queda escrito: si la entrada se hubiera quedado como estaba, F9 habria empezado creyendo que tenia que anadir una columna que ya existe, y habria dejado sin construir la que importa</t>
        </is>
      </c>
    </row>
    <row r="61" ht="68.25" customHeight="1" s="36">
      <c r="A61" s="67" t="inlineStr">
        <is>
          <t>T-60</t>
        </is>
      </c>
      <c r="B61" s="68" t="inlineStr">
        <is>
          <t>Resuelta</t>
        </is>
      </c>
      <c r="C61" s="68" t="n"/>
      <c r="D61" s="69" t="inlineStr">
        <is>
          <t>RESUELTA (2026-08-27). Tres reglas de 9.1 estaban puestas y no eran ellas las que contestaban. — (a) side nacio VARCHAR(4), asi que meter 'medio' lo rechazaba el ANCHO DE LA COLUMNA con un 1406 y ck_fx_side no llegaba a opinar --la asercion se ponia verde por el motivo equivocado: T-48 al reves--; pasa a VARCHAR(10).</t>
        </is>
      </c>
      <c r="E61" s="69" t="inlineStr">
        <is>
          <t>9.1</t>
        </is>
      </c>
      <c r="F61" s="69" t="inlineStr">
        <is>
          <t>Tu contador</t>
        </is>
      </c>
      <c r="G61" s="69" t="inlineStr">
        <is>
          <t>(b) El comentario que escribi decia que fk_fx_source acababa con 'SUNAT' frente a 'sunat', y es FALSO: el cotejamiento es utf8mb4_unicode_ci y para la clave ajena son el mismo valor. Lo que si impide es una fuente que nadie declaro. Corregido, y afirmado en la suite con un probar ... OK para que no se vuelva a suponer. (c) Fue la primera migracion del proyecto que sembraba datos y rompio recolectar-esquema.php, que ejecuta los up() sin Laravel entero y no tiene now(); las filas se fueron a CimientosSeeder y semilla.sql, que es donde vive el resto del catalogo --y la clave ajena no las necesitaba: sobre una tabla vacia no exige filas en la referida--</t>
        </is>
      </c>
    </row>
    <row r="62" ht="68.25" customHeight="1" s="36">
      <c r="A62" s="67" t="inlineStr">
        <is>
          <t>T-61</t>
        </is>
      </c>
      <c r="B62" s="68" t="inlineStr">
        <is>
          <t>Resuelta</t>
        </is>
      </c>
      <c r="C62" s="68" t="n"/>
      <c r="D62" s="69" t="inlineStr">
        <is>
          <t>RESUELTA (2026-08-27). La traida podia escribir a medias y jurar que no habia escrito nada. — La primera version validaba cada precio justo antes de anotarlo, asi que un sell_price malo dejaba la compra ya anotada mientras el resultado decia respuesta_rara --y como ck_ffr_nuevas obliga a que una corrida fallida diga cero, el registro juraba que no habia entrado nada--.</t>
        </is>
      </c>
      <c r="E62" s="69" t="inlineStr">
        <is>
          <t>9.2</t>
        </is>
      </c>
      <c r="F62" s="69" t="inlineStr">
        <is>
          <t>Equipo de desarrollo</t>
        </is>
      </c>
      <c r="G62" s="69" t="inlineStr">
        <is>
          <t>Una fila en exchange_rates que nadie sabe que existe, en una tabla que tg_fx_inmutable no deja corregir. Ahora se validan las dos antes de anotar ninguna. Las pruebas originales no lo cazaron porque probaban el PRIMER precio malo y no el segundo: la que faltaba es test_si_falla_el_segundo_precio_no_se_anota_el_primero. Es la familia de T-54 otra vez --verde por el caso que si se probo--</t>
        </is>
      </c>
    </row>
    <row r="63" ht="68.25" customHeight="1" s="36">
      <c r="A63" s="67" t="inlineStr">
        <is>
          <t>T-62</t>
        </is>
      </c>
      <c r="B63" s="68" t="inlineStr">
        <is>
          <t>Resuelta</t>
        </is>
      </c>
      <c r="C63" s="68" t="n"/>
      <c r="D63" s="69" t="inlineStr">
        <is>
          <t>RESUELTA (2026-08-27). El motivo de la transicion anterior explicaba la siguiente. — La primera version de tg_ledger_estado solo exigia que status_reason y status_changed_at no fueran nulos --y los dos SIGUEN en la fila despues del movimiento anterior--, asi que un UPDATE ...</t>
        </is>
      </c>
      <c r="E63" s="69" t="inlineStr">
        <is>
          <t>9.3</t>
        </is>
      </c>
      <c r="F63" s="69" t="inlineStr">
        <is>
          <t>Equipo de desarrollo</t>
        </is>
      </c>
      <c r="G63" s="69" t="inlineStr">
        <is>
          <t>SET status='on_hold' a secas pasaba, explicandose con el motivo de otra cosa. Lo cazo la suite de 2.13, no yo; y esa suite tenia a su vez una asercion que fijaba el hueco como correcto --UPDATE ... SET status='payable' a secas, verde desde la Fase 2--, que es T-16 otra vez: una prueba que afirma un agujero como si fuera la regla. Ahora status_changed_at tiene que cambiar. Y de ahi salio lo segundo: un Carbon sin formatear se escribe Y-m-d H:i:s --sin fraccion-- aunque la columna sea DATETIME(3), asi que dos transiciones dentro del mismo SEGUNDO quedaban identicas y la segunda se rechazaba; pasar a pagable y retener seguido es un caso que se da constantemente</t>
        </is>
      </c>
    </row>
    <row r="64" ht="68.25" customHeight="1" s="36">
      <c r="A64" s="67" t="inlineStr">
        <is>
          <t>T-63</t>
        </is>
      </c>
      <c r="B64" s="68" t="inlineStr">
        <is>
          <t>Resuelta</t>
        </is>
      </c>
      <c r="C64" s="68" t="n"/>
      <c r="D64" s="69" t="inlineStr">
        <is>
          <t>RESUELTA (2026-08-30). En campaign_costs el DELETE estaba cerrado y el UPDATE no. — El comentario de la tabla dice desde la Fase 2 que un costo mal tecleado «se anula, no se borra», porque el margen de ayer tiene que poder reconstruirse, y tg_cco_no_delete impedia el borrado.</t>
        </is>
      </c>
      <c r="E64" s="69" t="inlineStr">
        <is>
          <t>9.10a</t>
        </is>
      </c>
      <c r="F64" s="69" t="inlineStr">
        <is>
          <t>Equipo de desarrollo</t>
        </is>
      </c>
      <c r="G64" s="69" t="inlineStr">
        <is>
          <t>Nada impedia el UPDATE: cambiar un importe de 4.000 a 400 dejaba el margen de ayer irrecuperable exactamente igual que borrarlo, y ademas sin rastro. Nadie lo habia notado porque la tabla llevaba dos semanas con CERO filas: sus cinco restricciones estaban puestas y ninguna habia contestado nunca a nadie. Al escribir la suite salieron dos cosas mas: description era NOT NULL, que admite la cadena vacia, y nada miraba incurred_on --2.13 llevaba desde la Fase 2 anotando costos con fecha de septiembre, que en agosto esta por venir--. De paso, su asercion de borrado estaba verde con la tabla vacia: un DELETE que no toca ninguna fila no dispara nada. Familia de T-28</t>
        </is>
      </c>
    </row>
    <row r="65" ht="34.5" customHeight="1" s="36">
      <c r="A65" s="67" t="inlineStr">
        <is>
          <t>T-67</t>
        </is>
      </c>
      <c r="B65" s="68" t="inlineStr">
        <is>
          <t>Resuelta</t>
        </is>
      </c>
      <c r="C65" s="68" t="n"/>
      <c r="D65" s="69" t="inlineStr">
        <is>
          <t>RESUELTA (2026-08-31, iteracion 9.15). — Los archivos se guardaban desde la Fase 3 y no los servia nadie: la pantalla de conciliacion aceptaba el comprobante y la de gastos decia «con comprobante», sin enlace.</t>
        </is>
      </c>
      <c r="E65" s="69" t="inlineStr">
        <is>
          <t>9.15</t>
        </is>
      </c>
      <c r="F65" s="69" t="inlineStr">
        <is>
          <t>Equipo de desarrollo</t>
        </is>
      </c>
      <c r="G65" s="69" t="inlineStr">
        <is>
          <t>Ahora hay una sola puerta --/archivos/{uuid}-- con dos escalones: file.view deja pedir un archivo y el Vigilante decide cual, con la regla que registro el modulo dueño (DEC-197). Al probarlo salio que las fixturas creaban la fila y no el archivo, porque hasta hoy con la fila bastaba</t>
        </is>
      </c>
    </row>
    <row r="66" ht="45.75" customHeight="1" s="36">
      <c r="A66" s="67" t="inlineStr">
        <is>
          <t>T-72</t>
        </is>
      </c>
      <c r="B66" s="68" t="inlineStr">
        <is>
          <t>Resuelta</t>
        </is>
      </c>
      <c r="C66" s="68" t="n"/>
      <c r="D66" s="69" t="inlineStr">
        <is>
          <t>RESUELTA (2026-08-31, iteracion 9.17) el mismo dia que se abrio. Las clases de color de la marca no existian.</t>
        </is>
      </c>
      <c r="E66" s="69" t="inlineStr">
        <is>
          <t>9.17</t>
        </is>
      </c>
      <c r="F66" s="69" t="inlineStr">
        <is>
          <t>Equipo de desarrollo</t>
        </is>
      </c>
      <c r="G66" s="69" t="inlineStr">
        <is>
          <t>bg-navy, degradado-marca, text-marca-700/800, bg-marca-50/500 y border-marca-200 se usaban en las plantillas desde la Fase 4 y no estaban definidas en ninguna parte: app.css solo declara la tipografia y Tailwind no genera lo que no conoce. La barra lateral no tenia color de fondo y los avisos de marca salian en blanco sobre blanco. Salio al buscar donde se cambia el color. Ahora se generan en el head desde los valores de la base, y los tonos intermedios con color-mix() desde el color de marca.</t>
        </is>
      </c>
    </row>
    <row r="67" ht="57" customHeight="1" s="36">
      <c r="A67" s="67" t="inlineStr">
        <is>
          <t>T-73</t>
        </is>
      </c>
      <c r="B67" s="68" t="inlineStr">
        <is>
          <t>Resuelta</t>
        </is>
      </c>
      <c r="C67" s="68" t="n"/>
      <c r="D67" s="69" t="inlineStr">
        <is>
          <t>RESUELTA (2026-08-31, iteracion 9.19). Reportada en PRODUCCION: una cobertura cerrada seguia tapando su ultimo dia.</t>
        </is>
      </c>
      <c r="E67" s="69" t="inlineStr">
        <is>
          <t>9.19</t>
        </is>
      </c>
      <c r="F67" s="69" t="inlineStr">
        <is>
          <t>Equipo de desarrollo</t>
        </is>
      </c>
      <c r="G67" s="69" t="inlineStr">
        <is>
          <t>Cobertura::abiertaEnPais() mira solo las coberturas abiertas; el disparador de no-solape mira todas. Se da de baja una sociedad --DEC-081 cierra sus coberturas con la fecha de la baja-- y al declarar la del sucesor ESE MISMO DIA la pantalla cree que el pais esta libre, no cierra nada, y el INSERT sale como un 45000 crudo. La prueba que ya existia no lo vio porque usa el dia SIGUIENTE al cierre, que es el caso que funciona. Arreglado con queTapaLaFecha() y un veto con palabras y con la fecha en la que si se puede. Se comprobo que la prueba de regresion falla sin el arreglo.</t>
        </is>
      </c>
    </row>
    <row r="68" ht="57.45" customHeight="1" s="36">
      <c r="A68" s="67" t="inlineStr">
        <is>
          <t>T-74</t>
        </is>
      </c>
      <c r="B68" s="68" t="inlineStr">
        <is>
          <t>Resuelta</t>
        </is>
      </c>
      <c r="C68" s="68" t="n"/>
      <c r="D68" s="69" t="inlineStr">
        <is>
          <t>RESUELTA (2026-08-31, iteracion 9.19b) el dia siguiente a abrirse. Core dejo de ser Core, y lo hice yo.</t>
        </is>
      </c>
      <c r="E68" s="69" t="inlineStr">
        <is>
          <t>9.19b</t>
        </is>
      </c>
      <c r="F68" s="69" t="inlineStr">
        <is>
          <t>Equipo de desarrollo</t>
        </is>
      </c>
      <c r="G68" s="69" t="inlineStr">
        <is>
          <t>En 9.19, Core\Services\Terminos leia creators.activated_at y recorria creators entera. deptrac dice Core: [Framework, Shared], y una consulta a la tabla de otro modulo es una frontera rota que deptrac NO VE: no hay clase importada, solo un nombre de tabla dentro de un DB::table(). Es exactamente la trampa contra la que avisa la cabecera del Vigilante, escrita en 9.15, y cai en ella cuatro iteraciones despues. No la vio ninguna de las seis puertas porque no hay herramienta que la vea, asi que el arreglo trae una prueba que LEE EL CODIGO FUENTE. De paso, el recuento hacia una consulta por creador; ahora es una.</t>
        </is>
      </c>
    </row>
    <row r="69">
      <c r="A69" s="67" t="inlineStr">
        <is>
          <t>T-75</t>
        </is>
      </c>
      <c r="B69" s="68" t="inlineStr">
        <is>
          <t>Resuelta</t>
        </is>
      </c>
      <c r="C69" s="68" t="n"/>
      <c r="D69" s="69" t="inlineStr">
        <is>
          <t>RESUELTA (2026-08-31, iteracion 9.17d). La pasada entera de pruebas SQL terminaba en silencio, y debajo verificar-periodos.py llevaba rojo desde 9.16.</t>
        </is>
      </c>
      <c r="E69" s="69" t="inlineStr">
        <is>
          <t>9.17d</t>
        </is>
      </c>
      <c r="F69" s="69" t="inlineStr">
        <is>
          <t>Equipo de desarrollo</t>
        </is>
      </c>
      <c r="G69" s="69" t="inlineStr">
        <is>
          <t>La ultima cifra que se leia era el TOTAL de las suites SQL, que NO cuenta los ocho verificadores que corren despues; el resultado global vivia solo en el codigo de salida. Debajo habia un fallo benigno: tver_sin_solape se declaro en 3.13 y se rehizo en 9.16 con el filtro published_at IS NOT NULL, pero Periodo::quitar era un metodo VACIO en recolectar-esquema.php, asi que el grabador apuntaba las dos declaraciones y el verificador exigia al esquema el texto de la version vieja. Lo peor no es el falso positivo: una comprobacion que da rojo siempre deja de leerse. Ahora quitar quita y la pasada cierra con una linea que dice cuantas fallaron.</t>
        </is>
      </c>
    </row>
    <row r="70">
      <c r="A70" s="67" t="inlineStr">
        <is>
          <t>T-76</t>
        </is>
      </c>
      <c r="B70" s="68" t="inlineStr">
        <is>
          <t>Resuelta</t>
        </is>
      </c>
      <c r="C70" s="68" t="n"/>
      <c r="D70" s="69" t="inlineStr">
        <is>
          <t>RESUELTA (2026-08-31, iteracion 9.12). Schema::dropIfExists() era otro metodo vacio del grabador de esquema.</t>
        </is>
      </c>
      <c r="E70" s="69" t="inlineStr">
        <is>
          <t>9.12</t>
        </is>
      </c>
      <c r="F70" s="69" t="inlineStr">
        <is>
          <t>Equipo de desarrollo</t>
        </is>
      </c>
      <c r="G70" s="69" t="inlineStr">
        <is>
          <t>verificar-migraciones.py acuso a document_series de crear la columna document_type de mas: la migracion de 9.12 suelta la tabla y la vuelve a crear con otra forma, pero el doble de Schema no soltaba nada, asi que el grabador recogia la union de las dos formas. Mismo archivo, mismo motivo y misma familia que T-75. La leccion: cada doble vacio del grabador es un falso positivo esperando, y un verificador que da rojo por algo que esta bien acaba ignorado.</t>
        </is>
      </c>
    </row>
    <row r="71">
      <c r="A71" s="67" t="inlineStr">
        <is>
          <t>T-77</t>
        </is>
      </c>
      <c r="B71" s="68" t="inlineStr">
        <is>
          <t>Resuelta</t>
        </is>
      </c>
      <c r="C71" s="68" t="n"/>
      <c r="D71" s="69" t="inlineStr">
        <is>
          <t>RESUELTA (2026-08-31, hotfix de 9.12). El sembrador reescribia lo que una persona ya habia configurado, y ademas reventaba.</t>
        </is>
      </c>
      <c r="E71" s="69" t="inlineStr">
        <is>
          <t>9.12 (hotfix)</t>
        </is>
      </c>
      <c r="F71" s="69" t="inlineStr">
        <is>
          <t>Equipo de desarrollo</t>
        </is>
      </c>
      <c r="G71" s="69" t="inlineStr">
        <is>
          <t>Reportada desde la instalacion: db:seed se paro con un 45000 porque updateOrInsert movia el valid_from de la fila ABIERTA de fx_official_sources encima de un periodo cerrado a mano (T-73 desde el otro lado). Lo que el error tapaba era peor: el sembrador murio en la linea 71 de 700, asi que los proveedores de 9.17d y los tipos de comprobante de 9.12 no llegaron a entrar. Y de fondo: cada db:seed --lo que el runbook manda tras cada migracion-- devolvia a fabrica el nombre, lema, colores y tipografia de la marca y la direccion de la sociedad, REGENERABA sus uuid y reactivaba fuentes y proveedores apagados a proposito. Regla nueva: lo que una persona puede cambiar se siembra si falta y no se toca si esta (sembrarSiFalta); donde hay vigencia, el periodo empieza el dia siguiente al ultimo cierre. 5 pruebas verificadas en rojo sin el arreglo.</t>
        </is>
      </c>
    </row>
    <row r="72">
      <c r="A72" s="67" t="inlineStr">
        <is>
          <t>T-78</t>
        </is>
      </c>
      <c r="B72" s="68" t="inlineStr">
        <is>
          <t>Abierta</t>
        </is>
      </c>
      <c r="C72" s="68" t="inlineStr">
        <is>
          <t>Media</t>
        </is>
      </c>
      <c r="D72" s="69" t="inlineStr">
        <is>
          <t>Convertir a route() las 390 direcciones escritas a mano en las pruebas.</t>
        </is>
      </c>
      <c r="E72" s="69" t="inlineStr">
        <is>
          <t>Al tocar cada archivo</t>
        </is>
      </c>
      <c r="F72" s="69" t="inlineStr">
        <is>
          <t>Equipo de desarrollo</t>
        </is>
      </c>
      <c r="G72" s="69" t="inlineStr">
        <is>
          <t>La mudanza a /backoffice fue gratis en la aplicacion --ni una URL a mano-- y costo 390 sustituciones en tests/, porque una prueba que escribe /clientes FIJA la URL. Se corrigieron con un guion que sale de la lista real de rutas movidas, y la primera pasada dejo dos fuera (/bitacora?tipo=..., con cadena de consulta) que cazo la suite. Mientras sigan siendo cadenas, la proxima mudanza costara lo mismo.</t>
        </is>
      </c>
    </row>
  </sheetData>
  <autoFilter ref="A2:G65"/>
  <mergeCells count="1">
    <mergeCell ref="A1:G1"/>
  </mergeCells>
  <conditionalFormatting sqref="B3:B65">
    <cfRule type="cellIs" rank="0" priority="2" equalAverage="0" operator="equal" aboveAverage="0" dxfId="19" text="" percent="0" bottom="0">
      <formula>"Abierta"</formula>
    </cfRule>
    <cfRule type="cellIs" rank="0" priority="3" equalAverage="0" operator="equal" aboveAverage="0" dxfId="20" text="" percent="0" bottom="0">
      <formula>"Resuelta"</formula>
    </cfRule>
    <cfRule type="cellIs" rank="0" priority="4" equalAverage="0" operator="equal" aboveAverage="0" dxfId="20" text="" percent="0" bottom="0">
      <formula>"Respondida"</formula>
    </cfRule>
  </conditionalFormatting>
  <conditionalFormatting sqref="C3:C65">
    <cfRule type="cellIs" rank="0" priority="5" equalAverage="0" operator="equal" aboveAverage="0" dxfId="19" text="" percent="0" bottom="0">
      <formula>"Critica"</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G60"/>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35" min="1" max="1"/>
    <col width="11" customWidth="1" style="35" min="2" max="2"/>
    <col width="10" customWidth="1" style="35" min="3" max="3"/>
    <col width="62" customWidth="1" style="35" min="4" max="4"/>
    <col width="32" customWidth="1" style="35" min="5" max="5"/>
    <col width="24" customWidth="1" style="35" min="6" max="6"/>
    <col width="110" customWidth="1" style="35" min="7" max="7"/>
  </cols>
  <sheetData>
    <row r="1" ht="33.75" customHeight="1" s="36">
      <c r="A1" s="63" t="inlineStr">
        <is>
          <t>Preguntas de negocio (Q-XX). Una pregunta abierta es trabajo que NO se puede hacer hasta que alguien decida. Las respondidas conservan la pregunta original detrás de la respuesta. Fuente: docs/05-DECISION-LOG.md.</t>
        </is>
      </c>
    </row>
    <row r="2" ht="24" customHeight="1" s="36">
      <c r="A2" s="64" t="inlineStr">
        <is>
          <t>ID</t>
        </is>
      </c>
      <c r="B2" s="64" t="inlineStr">
        <is>
          <t>Estado</t>
        </is>
      </c>
      <c r="C2" s="64" t="inlineStr">
        <is>
          <t>Prioridad</t>
        </is>
      </c>
      <c r="D2" s="64" t="inlineStr">
        <is>
          <t>Que hay que decidir</t>
        </is>
      </c>
      <c r="E2" s="64" t="inlineStr">
        <is>
          <t>Cuando hace falta</t>
        </is>
      </c>
      <c r="F2" s="64" t="inlineStr">
        <is>
          <t>Quien la desbloquea</t>
        </is>
      </c>
      <c r="G2" s="64" t="inlineStr">
        <is>
          <t>Detalle</t>
        </is>
      </c>
    </row>
    <row r="3" ht="34.5" customHeight="1" s="36">
      <c r="A3" s="67" t="inlineStr">
        <is>
          <t>Q-47</t>
        </is>
      </c>
      <c r="B3" s="68" t="inlineStr">
        <is>
          <t>Abierta</t>
        </is>
      </c>
      <c r="C3" s="68" t="n"/>
      <c r="D3" s="69" t="inlineStr">
        <is>
          <t>Abierto por la iteración 3.6.</t>
        </is>
      </c>
      <c r="E3" s="69" t="inlineStr">
        <is>
          <t>Iteración de rechazo de creadores</t>
        </is>
      </c>
      <c r="F3" s="69" t="inlineStr">
        <is>
          <t>Tu (decision de negocio)</t>
        </is>
      </c>
      <c r="G3" s="69" t="inlineStr">
        <is>
          <t>BR-CREATOR-014 fija un periodo de gracia de 30 días antes de rechazar a un creador por falta de datos fiscales, y dice «configurable». ¿Configurable globalmente (una constante de despliegue) o por creador, como payment_term_days? No lo invento: son dos modelos de datos distintos. Hasta que se responda, el periodo de gracia no está implementado</t>
        </is>
      </c>
    </row>
    <row r="4" ht="45.75" customHeight="1" s="36">
      <c r="A4" s="67" t="inlineStr">
        <is>
          <t>Q-50</t>
        </is>
      </c>
      <c r="B4" s="68" t="inlineStr">
        <is>
          <t>Abierta</t>
        </is>
      </c>
      <c r="C4" s="68" t="n"/>
      <c r="D4" s="69" t="inlineStr">
        <is>
          <t>¿campaign_creators, agreement_amendments, domain_events y status_transitions son evidencia?</t>
        </is>
      </c>
      <c r="E4" s="69" t="inlineStr">
        <is>
          <t>Al construir el módulo de campañas</t>
        </is>
      </c>
      <c r="F4" s="69" t="inlineStr">
        <is>
          <t>Tu (decision de negocio)</t>
        </is>
      </c>
      <c r="G4" s="69" t="inlineStr">
        <is>
          <t>Se quedaron fuera de 3.12 a propósito. campaign_creators lleva agreed_amount —el precio pactado, congelado—, y borrar una participación borraría el precio con ella; pero el módulo de campañas no está construido y decidir ahora si una participación se borra o se cancela sería adivinar. Los otros dos son rastros de auditoría de alto volumen, donde puede hacer falta purga por antigüedad. Que lo decida la iteración que los construya, con el caso de uso delante</t>
        </is>
      </c>
    </row>
    <row r="5" ht="45.75" customHeight="1" s="36">
      <c r="A5" s="67" t="inlineStr">
        <is>
          <t>Q-52</t>
        </is>
      </c>
      <c r="B5" s="68" t="inlineStr">
        <is>
          <t>Abierta</t>
        </is>
      </c>
      <c r="C5" s="68" t="n"/>
      <c r="D5" s="69" t="inlineStr">
        <is>
          <t>¿Un cliente debería exigir contacto principal de facturación antes de poder estar active?</t>
        </is>
      </c>
      <c r="E5" s="69" t="inlineStr">
        <is>
          <t>Facturación (F9)</t>
        </is>
      </c>
      <c r="F5" s="69" t="inlineStr">
        <is>
          <t>Tu (decision de negocio)</t>
        </is>
      </c>
      <c r="G5" s="69" t="inlineStr">
        <is>
          <t>Hoy nada lo obliga: contacts no tiene regla que exija un principal de ningún tipo, y un cliente puede activarse sin un solo contacto. Cuando llegue la facturación habrá que saber a quién se le manda la factura, y descubrirlo entonces significa perseguir clientes ya activos. La ficha lo avisa en ámbar y no lo impide, porque convertirlo en requisito es una decisión de negocio: bloquear el alta de un cliente por un dato que a veces llega después tiene su propio coste. Si la respuesta es sí, el sitio es la activación del cliente, no contacts</t>
        </is>
      </c>
    </row>
    <row r="6" ht="45.75" customHeight="1" s="36">
      <c r="A6" s="67" t="inlineStr">
        <is>
          <t>Q-53</t>
        </is>
      </c>
      <c r="B6" s="68" t="inlineStr">
        <is>
          <t>Abierta</t>
        </is>
      </c>
      <c r="C6" s="68" t="n"/>
      <c r="D6" s="69" t="inlineStr">
        <is>
          <t>¿El mismo correo repetido dentro del mismo cliente y tipo es un error?</t>
        </is>
      </c>
      <c r="E6" s="69" t="inlineStr">
        <is>
          <t>Importación de clientes</t>
        </is>
      </c>
      <c r="F6" s="69" t="inlineStr">
        <is>
          <t>Tu (decision de negocio)</t>
        </is>
      </c>
      <c r="G6" s="69" t="inlineStr">
        <is>
          <t>contact_email no es único a propósito: es un canal comercial y puede compartirse (facturacion@cliente.com para varias personas), a diferencia de users.email, que es la identidad de acceso y sí lo es. Pero dos contactos con el mismo correo, el mismo cliente y el mismo tipo parece captura duplicada más que reparto. No se ha añadido regla: una validación que solo vive en el formulario se la salta cualquier importación o INSERT de mantenimiento. Si se decide que es error, el sitio es el esquema</t>
        </is>
      </c>
    </row>
    <row r="7" ht="45.75" customHeight="1" s="36">
      <c r="A7" s="67" t="inlineStr">
        <is>
          <t>Q-54</t>
        </is>
      </c>
      <c r="B7" s="68" t="inlineStr">
        <is>
          <t>Abierta</t>
        </is>
      </c>
      <c r="C7" s="68" t="n"/>
      <c r="D7" s="69" t="inlineStr">
        <is>
          <t>¿Se puede corregir un periodo fiscal ya CERRADO?</t>
        </is>
      </c>
      <c r="E7" s="69" t="inlineStr">
        <is>
          <t>Primera correccion real de un histórico</t>
        </is>
      </c>
      <c r="F7" s="69" t="inlineStr">
        <is>
          <t>Tu (decision de negocio)</t>
        </is>
      </c>
      <c r="G7" s="69" t="inlineStr">
        <is>
          <t>DEC-078 dice que no: sólo se corrige el vigente. Cubre el caso normal —el cliente cambió de razón social, y eso es un periodo nuevo, no una reescritura— pero deja fuera el RUC tecleado mal que no se detecta hasta meses después, cuando el periodo ya se cerró. Hoy eso se arregla en base de datos. Si se decide permitirlo por pantalla, la forma es la de la anulación de perfiles fiscales de creador (3.11): permiso propio, motivo escrito y rastro de quién. Lo que no puede ser es un UPDATE normal</t>
        </is>
      </c>
    </row>
    <row r="8" ht="45.75" customHeight="1" s="36">
      <c r="A8" s="67" t="inlineStr">
        <is>
          <t>Q-55</t>
        </is>
      </c>
      <c r="B8" s="68" t="inlineStr">
        <is>
          <t>Abierta</t>
        </is>
      </c>
      <c r="C8" s="68" t="n"/>
      <c r="D8" s="69" t="inlineStr">
        <is>
          <t>¿Se valida el formato del documento fiscal por país?</t>
        </is>
      </c>
      <c r="E8" s="69" t="inlineStr">
        <is>
          <t>Alta de clientes en el segundo país</t>
        </is>
      </c>
      <c r="F8" s="69" t="inlineStr">
        <is>
          <t>Tu (decision de negocio)</t>
        </is>
      </c>
      <c r="G8" s="69" t="inlineStr">
        <is>
          <t>Hoy no: tax_id_number acepta cualquier cosa de hasta 40 caracteres y la pantalla avisa de que no se comprueba. Escribir una tabla de expresiones regulares (11 dígitos para un RUC peruano, dígito verificador del NIT colombiano…) es fácil y es una trampa: en cuanto una esté mal o falte un país, el sistema rechaza un documento válido y no hay forma de meterlo, que es peor que aceptar uno malo —eso se detecta al facturar—. Si se hace, tiene que ser dato de catálogo por país y editable, no código</t>
        </is>
      </c>
    </row>
    <row r="9" ht="68.25" customHeight="1" s="36">
      <c r="A9" s="67" t="inlineStr">
        <is>
          <t>Q-56</t>
        </is>
      </c>
      <c r="B9" s="68" t="inlineStr">
        <is>
          <t>Abierta</t>
        </is>
      </c>
      <c r="C9" s="68" t="n"/>
      <c r="D9" s="69" t="inlineStr">
        <is>
          <t>.deliverable_versions es evidencia?</t>
        </is>
      </c>
      <c r="E9" s="69" t="inlineStr">
        <is>
          <t>8.1</t>
        </is>
      </c>
      <c r="F9" s="69" t="inlineStr">
        <is>
          <t>Tu (decision de negocio)</t>
        </is>
      </c>
      <c r="G9" s="69" t="inlineStr">
        <is>
          <t>Hoy se puede borrar fisicamente. El criterio de 3.12 para entrar en la lista de no_delete es «la fila es EVIDENCIA de algo que paso, y de ella depende dinero o una obligacion legal», y una version entregada cumple los dos: es lo que el cliente aprueba y lo que dispara el pago. Borrar la version 1 despues de aprobar la 2 reescribe la historia de una ronda de correccion que se facturo. No se ha cambiado en 8.1 porque 3.12 eligio dieciocho tablas de una lista y no hay documento que diga si esta se considero y se descarto o si simplemente no estaba (T-29): decidirlo con el documento delante, no de memoria. Nota practica si se decide que si: la suite de 8.1 dejaria de poder limpiar lo suyo, que es el caso «TOZUDAS» que verificar-fixturas.py ya documenta, y la propia suite lo dice en el sitio donde se rompera</t>
        </is>
      </c>
    </row>
    <row r="10" ht="45.75" customHeight="1" s="36">
      <c r="A10" s="67" t="inlineStr">
        <is>
          <t>Q-57</t>
        </is>
      </c>
      <c r="B10" s="68" t="inlineStr">
        <is>
          <t>Abierta</t>
        </is>
      </c>
      <c r="C10" s="68" t="n"/>
      <c r="D10" s="69" t="inlineStr">
        <is>
          <t>.Donde acaba la linea del cargo por una ronda de correccion de mas?</t>
        </is>
      </c>
      <c r="E10" s="69" t="inlineStr">
        <is>
          <t>8.3</t>
        </is>
      </c>
      <c r="F10" s="69" t="inlineStr">
        <is>
          <t>Tu (decision de negocio)</t>
        </is>
      </c>
      <c r="G10" s="69" t="inlineStr">
        <is>
          <t>Hoy queda la DECISION en content_reviews --se cobra o se absorbe, quien lo autorizo y cuando-- y la pantalla de entregables la ensena como pendiente de facturar. No va a campaign_costs a proposito (DEC-135). Cuando exista facturacion (F9) habra que decidir si es una invoice_lines que se genera sola, un concepto aparte, o algo que finanzas teclea leyendo esta lista. Se decide con invoice_lines delante, no de memoria, y hasta entonces la lista de la pantalla es el registro</t>
        </is>
      </c>
    </row>
    <row r="11" ht="34.5" customHeight="1" s="36">
      <c r="A11" s="67" t="inlineStr">
        <is>
          <t>Q-58</t>
        </is>
      </c>
      <c r="B11" s="68" t="inlineStr">
        <is>
          <t>Abierta</t>
        </is>
      </c>
      <c r="C11" s="68" t="n"/>
      <c r="D11" s="69" t="inlineStr">
        <is>
          <t>.Se puede reabrir un entregable ya PUBLICADO o VERIFICADO?</t>
        </is>
      </c>
      <c r="E11" s="69" t="inlineStr">
        <is>
          <t>8.2</t>
        </is>
      </c>
      <c r="F11" s="69" t="inlineStr">
        <is>
          <t>Tu (decision de negocio)</t>
        </is>
      </c>
      <c r="G11" s="69" t="inlineStr">
        <is>
          <t>Hoy no: tg_cvw_entregable_abierto cierra published, verified y cancelled sin excepcion, y solo deja reabrir lo approved. No hay diferencia practica todavia porque publications se llena en 8.6, pero cuando la haya habra que decidir que pasa con la evidencia archivada (8.7) y con la permanencia minima (8.8) de un post que se retira para rehacerlo. Se decide con publication_evidence delante</t>
        </is>
      </c>
    </row>
    <row r="12" ht="34.5" customHeight="1" s="36">
      <c r="A12" s="67" t="inlineStr">
        <is>
          <t>Q-59</t>
        </is>
      </c>
      <c r="B12" s="68" t="inlineStr">
        <is>
          <t>Abierta</t>
        </is>
      </c>
      <c r="C12" s="68" t="n"/>
      <c r="D12" s="69" t="inlineStr">
        <is>
          <t>¿La ventana de permanencia se alarga por los dias que el post estuvo caido?</t>
        </is>
      </c>
      <c r="E12" s="69" t="inlineStr">
        <is>
          <t>Con el contrato del creador</t>
        </is>
      </c>
      <c r="F12" s="69" t="inlineStr">
        <is>
          <t>Tu (decision de negocio)</t>
        </is>
      </c>
      <c r="G12" s="69" t="inlineStr">
        <is>
          <t>Hoy no: reponer devuelve la publicacion a verified y permanence_until no se toca. Si el post estuvo tres dias fuera, la marca perdio tres dias de exposicion y el creador cumple igual. Alargarla seria lo justo y alargarla por mi cuenta seria inventarme una clausula, asi que va con el texto del contrato, junto a T-09</t>
        </is>
      </c>
    </row>
    <row r="13" ht="34.5" customHeight="1" s="36">
      <c r="A13" s="67" t="inlineStr">
        <is>
          <t>Q-60</t>
        </is>
      </c>
      <c r="B13" s="68" t="inlineStr">
        <is>
          <t>Abierta</t>
        </is>
      </c>
      <c r="C13" s="68" t="n"/>
      <c r="D13" s="69" t="inlineStr">
        <is>
          <t>¿deliverables.revision_rounds_used deberia existir?</t>
        </is>
      </c>
      <c r="E13" s="69" t="inlineStr">
        <is>
          <t>Facturacion (F9)</t>
        </is>
      </c>
      <c r="F13" s="69" t="inlineStr">
        <is>
          <t>Tu contador</t>
        </is>
      </c>
      <c r="G13" s="69" t="inlineStr">
        <is>
          <t>Es una desnormalizacion que anadio 8.3. Las revisiones son append-only (tg_cvw_inmutable), asi que el numero exacto se deriva con un COUNT(*) sobre content_reviews donde consumes_round = 1, y entonces no hay contador que desincronizar ni que proteger --tg_del_rondas sobraria--. A cambio, cada lectura del techo cuesta un JOIN. Se decide cuando ese numero sea una linea de factura</t>
        </is>
      </c>
    </row>
    <row r="14" ht="34.5" customHeight="1" s="36">
      <c r="A14" s="67" t="inlineStr">
        <is>
          <t>Q-61</t>
        </is>
      </c>
      <c r="B14" s="68" t="inlineStr">
        <is>
          <t>Abierta</t>
        </is>
      </c>
      <c r="C14" s="68" t="n"/>
      <c r="D14" s="69" t="inlineStr">
        <is>
          <t>¿Como se marca una ronda de mas como facturada?</t>
        </is>
      </c>
      <c r="E14" s="69" t="inlineStr">
        <is>
          <t>Facturacion (F9)</t>
        </is>
      </c>
      <c r="F14" s="69" t="inlineStr">
        <is>
          <t>Tu (decision de negocio)</t>
        </is>
      </c>
      <c r="G14" s="69" t="inlineStr">
        <is>
          <t>content_reviews es append-only desde 8.3 --tg_cvw_inmutable bloquea todo UPDATE-- asi que no se le puede poner un invoiced_at. El enlace tiene que ir al reves: de la linea de factura a la revision. Mientras no exista, rondasCobrables() devuelve todas las autorizadas y la pantalla lo dice con esas palabras. Lo decide quien construya la facturacion, que es quien sabe que forma tiene una linea</t>
        </is>
      </c>
    </row>
    <row r="15" ht="57" customHeight="1" s="36">
      <c r="A15" s="67" t="inlineStr">
        <is>
          <t>Q-62</t>
        </is>
      </c>
      <c r="B15" s="68" t="inlineStr">
        <is>
          <t>Abierta</t>
        </is>
      </c>
      <c r="C15" s="68" t="n"/>
      <c r="D15" s="69" t="inlineStr">
        <is>
          <t>.Que pasa si una fuente CORRIGE una tasa ya publicada?</t>
        </is>
      </c>
      <c r="E15" s="69" t="inlineStr">
        <is>
          <t>Primera errata real de la fuente</t>
        </is>
      </c>
      <c r="F15" s="69" t="inlineStr">
        <is>
          <t>Tu contador</t>
        </is>
      </c>
      <c r="G15" s="69" t="inlineStr">
        <is>
          <t>tg_fx_inmutable (9.1) bloquea todo UPDATE sobre exchange_rates porque BR-FIN-009 dice que los historicos no se recalculan: la tasa con la que se convirtio ayer tiene que seguir explicando el asiento de ayer. Pero SUNAT publica erratas. Hoy no estorba --la correccion se anotaria como una tasa nueva de otra fecha, y las conversiones ya hechas no cambian-- y el dia que importe habra que decidir si existe una «tasa rectificada» que convive con la original, y que pasa con lo ya convertido. Se abrio en 9.1 y llevaba desde entonces solo en su documento: esta fila nace en 9.15</t>
        </is>
      </c>
    </row>
    <row r="16" ht="34.5" customHeight="1" s="36">
      <c r="A16" s="67" t="inlineStr">
        <is>
          <t>Q-64</t>
        </is>
      </c>
      <c r="B16" s="68" t="inlineStr">
        <is>
          <t>Abierta</t>
        </is>
      </c>
      <c r="C16" s="68" t="n"/>
      <c r="D16" s="69" t="inlineStr">
        <is>
          <t>.De donde salen los pares que Decolecta no trae?</t>
        </is>
      </c>
      <c r="E16" s="69" t="inlineStr">
        <is>
          <t>Primera campana en COP o MXN</t>
        </is>
      </c>
      <c r="F16" s="69" t="inlineStr">
        <is>
          <t>Tu contador</t>
        </is>
      </c>
      <c r="G16" s="69" t="inlineStr">
        <is>
          <t>Decolecta publica el tipo de cambio de SUNAT, y SUNAT solo publica USD -&gt; PEN: no hay COP -&gt; PEN ni MXN -&gt; PEN. La pantalla lo dice en vez de disimularlo (DEC-165), y mientras no haya campanas en esas monedas no estorba. Cuando las haya hara falta otra fuente por par --o declarar una a mano, que 9.1 permite y marca como no oficial--. Se abrio en 9.2 y esta fila nace en 9.15</t>
        </is>
      </c>
    </row>
    <row r="17" ht="34.5" customHeight="1" s="36">
      <c r="A17" s="67" t="inlineStr">
        <is>
          <t>Q-01</t>
        </is>
      </c>
      <c r="B17" s="68" t="inlineStr">
        <is>
          <t>Resuelta</t>
        </is>
      </c>
      <c r="C17" s="68" t="n"/>
      <c r="D17" s="69" t="inlineStr">
        <is>
          <t>RESPONDIDA (2026-08-30).</t>
        </is>
      </c>
      <c r="E17" s="69" t="inlineStr">
        <is>
          <t>Respondida</t>
        </is>
      </c>
      <c r="F17" s="69" t="inlineStr">
        <is>
          <t>Tu (decision de negocio)</t>
        </is>
      </c>
      <c r="G17" s="69" t="inlineStr">
        <is>
          <t>Se les AYUDA a sacar el RUC, y es uno de los beneficios que se anuncian en la landing y en los terminos. No hay pago informal: el camino es formalizar al creador, no esquivar la formalidad. *Pregunta original:* ¿Cómo se pagará legalmente a creadores sin RUC? (DEC-005)</t>
        </is>
      </c>
    </row>
    <row r="18" ht="23.25" customHeight="1" s="36">
      <c r="A18" s="67" t="inlineStr">
        <is>
          <t>Q-02</t>
        </is>
      </c>
      <c r="B18" s="68" t="inlineStr">
        <is>
          <t>Resuelta</t>
        </is>
      </c>
      <c r="C18" s="68" t="n"/>
      <c r="D18" s="69" t="inlineStr">
        <is>
          <t>RESPONDIDA (2026-08-30).</t>
        </is>
      </c>
      <c r="E18" s="69" t="inlineStr">
        <is>
          <t>Respondida</t>
        </is>
      </c>
      <c r="F18" s="69" t="inlineStr">
        <is>
          <t>Tu (decision de negocio)</t>
        </is>
      </c>
      <c r="G18" s="69" t="inlineStr">
        <is>
          <t>Se factura la CAMPANA COMPLETA al cliente, no el servicio de cada creador por separado. *Pregunta original:* ¿El operador factura la campaña completa o solo su servicio? (DEC-004)</t>
        </is>
      </c>
    </row>
    <row r="19" ht="57" customHeight="1" s="36">
      <c r="A19" s="67" t="inlineStr">
        <is>
          <t>Q-03</t>
        </is>
      </c>
      <c r="B19" s="68" t="inlineStr">
        <is>
          <t>Resuelta</t>
        </is>
      </c>
      <c r="C19" s="68" t="n"/>
      <c r="D19" s="69" t="inlineStr">
        <is>
          <t>RESPONDIDA (2026-08-30).</t>
        </is>
      </c>
      <c r="E19" s="69" t="inlineStr">
        <is>
          <t>Respondida</t>
        </is>
      </c>
      <c r="F19" s="69" t="inlineStr">
        <is>
          <t>Tu contador</t>
        </is>
      </c>
      <c r="G19" s="69" t="inlineStr">
        <is>
          <t>Facturacion electronica DIRECTA con SUNAT --ya se hizo antes en PHP-- y no un proveedor. URL, certificado, usuario y clave secundarios y los correlativos de factura, boleta y notas de credito de ambas son CONFIGURABLES desde el admin. Hace falta ademas un monitor de documentos timbrados con su estado, reintento manual y automatico con frecuencia y numero de reintentos configurables, descarga de CDR, XML y PDF --con plantilla configurable-- y envio por correo al cliente con cuerpo configurable y variables arrastrables. Ver DEC-192. *Pregunta original:* ¿Qué proveedor de facturación electrónica se usará?</t>
        </is>
      </c>
    </row>
    <row r="20" ht="23.25" customHeight="1" s="36">
      <c r="A20" s="67" t="inlineStr">
        <is>
          <t>Q-04</t>
        </is>
      </c>
      <c r="B20" s="68" t="inlineStr">
        <is>
          <t>Resuelta</t>
        </is>
      </c>
      <c r="C20" s="68" t="n"/>
      <c r="D20" s="69" t="inlineStr">
        <is>
          <t>RESPONDIDA (2026-08-30).</t>
        </is>
      </c>
      <c r="E20" s="69" t="inlineStr">
        <is>
          <t>Respondida</t>
        </is>
      </c>
      <c r="F20" s="69" t="inlineStr">
        <is>
          <t>Tu (decision de negocio)</t>
        </is>
      </c>
      <c r="G20" s="69" t="inlineStr">
        <is>
          <t>Por ahora NO hay clientes que quieran pagar con tarjeta. *Pregunta original:* ¿Existen clientes que quieran pagar con tarjeta? (DEC-007)</t>
        </is>
      </c>
    </row>
    <row r="21" ht="15" customHeight="1" s="36">
      <c r="A21" s="67" t="inlineStr">
        <is>
          <t>Q-05</t>
        </is>
      </c>
      <c r="B21" s="68" t="inlineStr">
        <is>
          <t>Resuelta</t>
        </is>
      </c>
      <c r="C21" s="68" t="n"/>
      <c r="D21" s="69" t="inlineStr">
        <is>
          <t>30 días por defecto, configurable por creador.</t>
        </is>
      </c>
      <c r="E21" s="69" t="inlineStr">
        <is>
          <t>—</t>
        </is>
      </c>
      <c r="F21" s="69" t="inlineStr">
        <is>
          <t>Tu (decision de negocio)</t>
        </is>
      </c>
      <c r="G21" s="69" t="inlineStr">
        <is>
          <t>Visible al aceptar la campaña</t>
        </is>
      </c>
    </row>
    <row r="22" ht="15" customHeight="1" s="36">
      <c r="A22" s="67" t="inlineStr">
        <is>
          <t>Q-06</t>
        </is>
      </c>
      <c r="B22" s="68" t="inlineStr">
        <is>
          <t>Resuelta</t>
        </is>
      </c>
      <c r="C22" s="68" t="n"/>
      <c r="D22" s="69" t="inlineStr">
        <is>
          <t>Contrato por campaña</t>
        </is>
      </c>
      <c r="E22" s="69" t="inlineStr">
        <is>
          <t>—</t>
        </is>
      </c>
      <c r="F22" s="69" t="inlineStr">
        <is>
          <t>Tu (decision de negocio)</t>
        </is>
      </c>
      <c r="G22" s="69" t="inlineStr">
        <is>
          <t>, sin acuerdos marco</t>
        </is>
      </c>
    </row>
    <row r="23" ht="15" customHeight="1" s="36">
      <c r="A23" s="67" t="inlineStr">
        <is>
          <t>Q-07</t>
        </is>
      </c>
      <c r="B23" s="68" t="inlineStr">
        <is>
          <t>Resuelta</t>
        </is>
      </c>
      <c r="C23" s="68" t="n"/>
      <c r="D23" s="69" t="inlineStr">
        <is>
          <t>Sí, con autorización firmada del tutor</t>
        </is>
      </c>
      <c r="E23" s="69" t="inlineStr">
        <is>
          <t>—</t>
        </is>
      </c>
      <c r="F23" s="69" t="inlineStr">
        <is>
          <t>Tu (decision de negocio)</t>
        </is>
      </c>
      <c r="G23" s="69" t="inlineStr">
        <is>
          <t>; se paga a nombre del tutor. Requiere documento del tutor y acreditación de parentesco. Abre modelado nuevo: ver docs/16 §3.1</t>
        </is>
      </c>
    </row>
    <row r="24" ht="15" customHeight="1" s="36">
      <c r="A24" s="67" t="inlineStr">
        <is>
          <t>Q-08</t>
        </is>
      </c>
      <c r="B24" s="68" t="inlineStr">
        <is>
          <t>Resuelta</t>
        </is>
      </c>
      <c r="C24" s="68" t="n"/>
      <c r="D24" s="69" t="inlineStr">
        <is>
          <t>2 rondas</t>
        </is>
      </c>
      <c r="E24" s="69" t="inlineStr">
        <is>
          <t>—</t>
        </is>
      </c>
      <c r="F24" s="69" t="inlineStr">
        <is>
          <t>Tu (decision de negocio)</t>
        </is>
      </c>
      <c r="G24" s="69" t="inlineStr">
        <is>
          <t>incluidas en el precio</t>
        </is>
      </c>
    </row>
    <row r="25" ht="15" customHeight="1" s="36">
      <c r="A25" s="67" t="inlineStr">
        <is>
          <t>Q-09</t>
        </is>
      </c>
      <c r="B25" s="68" t="inlineStr">
        <is>
          <t>Resuelta</t>
        </is>
      </c>
      <c r="C25" s="68" t="n"/>
      <c r="D25" s="69" t="inlineStr">
        <is>
          <t>Se define por campaña y por red.</t>
        </is>
      </c>
      <c r="E25" s="69" t="inlineStr">
        <is>
          <t>—</t>
        </is>
      </c>
      <c r="F25" s="69" t="inlineStr">
        <is>
          <t>Tu (decision de negocio)</t>
        </is>
      </c>
      <c r="G25" s="69" t="inlineStr">
        <is>
          <t>El creador adjunta el enlace y el sistema lo valida — con los límites de docs/16 §3.2</t>
        </is>
      </c>
    </row>
    <row r="26" ht="23.25" customHeight="1" s="36">
      <c r="A26" s="67" t="inlineStr">
        <is>
          <t>Q-10</t>
        </is>
      </c>
      <c r="B26" s="68" t="inlineStr">
        <is>
          <t>Resuelta</t>
        </is>
      </c>
      <c r="C26" s="68" t="n"/>
      <c r="D26" s="69" t="inlineStr">
        <is>
          <t>RESPONDIDA (2026-08-30).</t>
        </is>
      </c>
      <c r="E26" s="69" t="inlineStr">
        <is>
          <t>Respondida</t>
        </is>
      </c>
      <c r="F26" s="69" t="inlineStr">
        <is>
          <t>Tu (decision de negocio)</t>
        </is>
      </c>
      <c r="G26" s="69" t="inlineStr">
        <is>
          <t>Cada creador asume el costo de produccion de sus entregables. *Pregunta original:* ¿Quién asume el costo del producto enviado y de la logística?</t>
        </is>
      </c>
    </row>
    <row r="27" ht="15" customHeight="1" s="36">
      <c r="A27" s="67" t="inlineStr">
        <is>
          <t>Q-11</t>
        </is>
      </c>
      <c r="B27" s="68" t="inlineStr">
        <is>
          <t>Resuelta</t>
        </is>
      </c>
      <c r="C27" s="68" t="n"/>
      <c r="D27" s="69" t="inlineStr">
        <is>
          <t>No hay base previa.</t>
        </is>
      </c>
      <c r="E27" s="69" t="inlineStr">
        <is>
          <t>—</t>
        </is>
      </c>
      <c r="F27" s="69" t="inlineStr">
        <is>
          <t>Tu (decision de negocio)</t>
        </is>
      </c>
      <c r="G27" s="69" t="inlineStr">
        <is>
          <t>Plantilla entregada: tools/plantilla-importacion-creadores.csv</t>
        </is>
      </c>
    </row>
    <row r="28" ht="34.5" customHeight="1" s="36">
      <c r="A28" s="67" t="inlineStr">
        <is>
          <t>Q-12</t>
        </is>
      </c>
      <c r="B28" s="68" t="inlineStr">
        <is>
          <t>Resuelta</t>
        </is>
      </c>
      <c r="C28" s="68" t="n"/>
      <c r="D28" s="69" t="inlineStr">
        <is>
          <t>RESPONDIDA (2026-08-30).</t>
        </is>
      </c>
      <c r="E28" s="69" t="inlineStr">
        <is>
          <t>Respondida</t>
        </is>
      </c>
      <c r="F28" s="69" t="inlineStr">
        <is>
          <t>Tu (decision de negocio)</t>
        </is>
      </c>
      <c r="G28" s="69" t="inlineStr">
        <is>
          <t>El nombre comercial es LATAM Social y es configurable: la plataforma es white label. Razon social, RUC, representante legal, direccion y ubigeo salen del admin, no del codigo. *Pregunta original:* Nombre comercial resuelto: LATAM Social. Falta el dominio definitivo y el correo del remitente.</t>
        </is>
      </c>
    </row>
    <row r="29" ht="34.5" customHeight="1" s="36">
      <c r="A29" s="67" t="inlineStr">
        <is>
          <t>Q-13</t>
        </is>
      </c>
      <c r="B29" s="68" t="inlineStr">
        <is>
          <t>Resuelta</t>
        </is>
      </c>
      <c r="C29" s="68" t="n"/>
      <c r="D29" s="69" t="inlineStr">
        <is>
          <t>RESPONDIDA (2026-08-30).</t>
        </is>
      </c>
      <c r="E29" s="69" t="inlineStr">
        <is>
          <t>Respondida</t>
        </is>
      </c>
      <c r="F29" s="69" t="inlineStr">
        <is>
          <t>Tu contador</t>
        </is>
      </c>
      <c r="G29" s="69" t="inlineStr">
        <is>
          <t>Al creador no domiciliado o sin comprobante se le paga como gasto no deducible y se le aplica 29,5% de retencion: en el peor caso es lo que la empresa pagaria de impuesto a la renta por ese importe no deducido. La tasa es configurable. Ver DEC-191. *Pregunta original:* 🔴 ¿Cómo se paga a un creador no domiciliado desde CTS Perú? ¿Qué retención aplica y qué documento se le exige?</t>
        </is>
      </c>
    </row>
    <row r="30" ht="15" customHeight="1" s="36">
      <c r="A30" s="67" t="inlineStr">
        <is>
          <t>Q-14</t>
        </is>
      </c>
      <c r="B30" s="68" t="inlineStr">
        <is>
          <t>Resuelta</t>
        </is>
      </c>
      <c r="C30" s="68" t="n"/>
      <c r="D30" s="69" t="inlineStr">
        <is>
          <t>Sí</t>
        </is>
      </c>
      <c r="E30" s="69" t="inlineStr">
        <is>
          <t>—</t>
        </is>
      </c>
      <c r="F30" s="69" t="inlineStr">
        <is>
          <t>Tu (decision de negocio)</t>
        </is>
      </c>
      <c r="G30" s="69" t="inlineStr">
        <is>
          <t>, exportación de servicios</t>
        </is>
      </c>
    </row>
    <row r="31" ht="15" customHeight="1" s="36">
      <c r="A31" s="67" t="inlineStr">
        <is>
          <t>Q-15</t>
        </is>
      </c>
      <c r="B31" s="68" t="inlineStr">
        <is>
          <t>Resuelta</t>
        </is>
      </c>
      <c r="C31" s="68" t="n"/>
      <c r="D31" s="69" t="inlineStr">
        <is>
          <t>CTS Perú → PE, EC, CL, MX, US</t>
        </is>
      </c>
      <c r="E31" s="69" t="inlineStr">
        <is>
          <t>—</t>
        </is>
      </c>
      <c r="F31" s="69" t="inlineStr">
        <is>
          <t>Tu (decision de negocio)</t>
        </is>
      </c>
      <c r="G31" s="69" t="inlineStr">
        <is>
          <t>· CTS Colombia → CO (ya constituida)</t>
        </is>
      </c>
    </row>
    <row r="32" ht="15" customHeight="1" s="36">
      <c r="A32" s="67" t="inlineStr">
        <is>
          <t>Q-16</t>
        </is>
      </c>
      <c r="B32" s="68" t="inlineStr">
        <is>
          <t>Resuelta</t>
        </is>
      </c>
      <c r="C32" s="68" t="n"/>
      <c r="D32" s="69" t="inlineStr">
        <is>
          <t>SUNAT directo</t>
        </is>
      </c>
      <c r="E32" s="69" t="inlineStr">
        <is>
          <t>—</t>
        </is>
      </c>
      <c r="F32" s="69" t="inlineStr">
        <is>
          <t>Tu contador</t>
        </is>
      </c>
      <c r="G32" s="69" t="inlineStr">
        <is>
          <t>en Perú y DIAN directo en Colombia. Sobre Colombia tengo una objeción: docs/16 §2.3</t>
        </is>
      </c>
    </row>
    <row r="33" ht="34.5" customHeight="1" s="36">
      <c r="A33" s="67" t="inlineStr">
        <is>
          <t>Q-17</t>
        </is>
      </c>
      <c r="B33" s="68" t="inlineStr">
        <is>
          <t>Resuelta</t>
        </is>
      </c>
      <c r="C33" s="68" t="n"/>
      <c r="D33" s="69" t="inlineStr">
        <is>
          <t>RESPONDIDA (2026-08-30).</t>
        </is>
      </c>
      <c r="E33" s="69" t="inlineStr">
        <is>
          <t>Respondida</t>
        </is>
      </c>
      <c r="F33" s="69" t="inlineStr">
        <is>
          <t>Tu (decision de negocio)</t>
        </is>
      </c>
      <c r="G33" s="69" t="inlineStr">
        <is>
          <t>NO se constituira otra sociedad. Y si algun dia se cambia, al ser white label se cambia desde el admin: razon social, nombre comercial, direcciones, datos de facturacion electronica y credenciales de las APIs. Nada de eso vive en el codigo. *Pregunta original:* Si se constituye una segunda sociedad, ¿se migran los clientes existentes o se quedan con la original?</t>
        </is>
      </c>
    </row>
    <row r="34" ht="23.25" customHeight="1" s="36">
      <c r="A34" s="67" t="inlineStr">
        <is>
          <t>Q-18</t>
        </is>
      </c>
      <c r="B34" s="68" t="inlineStr">
        <is>
          <t>Resuelta</t>
        </is>
      </c>
      <c r="C34" s="68" t="n"/>
      <c r="D34" s="69" t="inlineStr">
        <is>
          <t>RESPONDIDA (2026-08-30).</t>
        </is>
      </c>
      <c r="E34" s="69" t="inlineStr">
        <is>
          <t>Respondida</t>
        </is>
      </c>
      <c r="F34" s="69" t="inlineStr">
        <is>
          <t>Tu (decision de negocio)</t>
        </is>
      </c>
      <c r="G34" s="69" t="inlineStr">
        <is>
          <t>Es el nombre comercial. *Pregunta original:* ¿"LATAM Social" es marca registrada, y a nombre de qué sociedad? Afecta contratos y licencias de contenido.</t>
        </is>
      </c>
    </row>
    <row r="35" ht="15" customHeight="1" s="36">
      <c r="A35" s="67" t="inlineStr">
        <is>
          <t>Q-19</t>
        </is>
      </c>
      <c r="B35" s="68" t="inlineStr">
        <is>
          <t>Resuelta</t>
        </is>
      </c>
      <c r="C35" s="68" t="n"/>
      <c r="D35" s="69" t="inlineStr">
        <is>
          <t>Perú: invoicing y exchange_rate.</t>
        </is>
      </c>
      <c r="E35" s="69" t="inlineStr">
        <is>
          <t>—</t>
        </is>
      </c>
      <c r="F35" s="69" t="inlineStr">
        <is>
          <t>Tu (decision de negocio)</t>
        </is>
      </c>
      <c r="G35" s="69" t="inlineStr">
        <is>
          <t>Colombia: opcionales</t>
        </is>
      </c>
    </row>
    <row r="36" ht="23.25" customHeight="1" s="36">
      <c r="A36" s="67" t="inlineStr">
        <is>
          <t>Q-20</t>
        </is>
      </c>
      <c r="B36" s="68" t="inlineStr">
        <is>
          <t>Resuelta</t>
        </is>
      </c>
      <c r="C36" s="68" t="n"/>
      <c r="D36" s="69" t="inlineStr">
        <is>
          <t>SMTP Google Workspace · almacenamiento sin contratar · tipo de cambio Decolecta.</t>
        </is>
      </c>
      <c r="E36" s="69" t="inlineStr">
        <is>
          <t>—</t>
        </is>
      </c>
      <c r="F36" s="69" t="inlineStr">
        <is>
          <t>Tu (decision de negocio)</t>
        </is>
      </c>
      <c r="G36" s="69" t="inlineStr">
        <is>
          <t>Dos reservas en docs/16 §3.3 y §3.4</t>
        </is>
      </c>
    </row>
    <row r="37" ht="23.25" customHeight="1" s="36">
      <c r="A37" s="67" t="inlineStr">
        <is>
          <t>Q-21</t>
        </is>
      </c>
      <c r="B37" s="68" t="inlineStr">
        <is>
          <t>Resuelta</t>
        </is>
      </c>
      <c r="C37" s="68" t="n"/>
      <c r="D37" s="69" t="inlineStr">
        <is>
          <t>RESPONDIDA (2026-08-30).</t>
        </is>
      </c>
      <c r="E37" s="69" t="inlineStr">
        <is>
          <t>Respondida</t>
        </is>
      </c>
      <c r="F37" s="69" t="inlineStr">
        <is>
          <t>Tu contador</t>
        </is>
      </c>
      <c r="G37" s="69" t="inlineStr">
        <is>
          <t>Resuelta por Q-03: no hay proveedor intermedio, se timbra directo con SUNAT y todo es configurable. *Pregunta original:* ¿El proveedor de facturación electrónica permite una cuenta por sociedad, o exige contrato separado por RUC?</t>
        </is>
      </c>
    </row>
    <row r="38" ht="15" customHeight="1" s="36">
      <c r="A38" s="67" t="inlineStr">
        <is>
          <t>Q-22</t>
        </is>
      </c>
      <c r="B38" s="68" t="inlineStr">
        <is>
          <t>Resuelta</t>
        </is>
      </c>
      <c r="C38" s="68" t="n"/>
      <c r="D38" s="69" t="inlineStr">
        <is>
          <t>100% interna</t>
        </is>
      </c>
      <c r="E38" s="69" t="inlineStr">
        <is>
          <t>—</t>
        </is>
      </c>
      <c r="F38" s="69" t="inlineStr">
        <is>
          <t>Tu (decision de negocio)</t>
        </is>
      </c>
      <c r="G38" s="69" t="n"/>
    </row>
    <row r="39" ht="23.25" customHeight="1" s="36">
      <c r="A39" s="67" t="inlineStr">
        <is>
          <t>Q-23</t>
        </is>
      </c>
      <c r="B39" s="68" t="inlineStr">
        <is>
          <t>Resuelta</t>
        </is>
      </c>
      <c r="C39" s="68" t="n"/>
      <c r="D39" s="69" t="inlineStr">
        <is>
          <t>RESPONDIDA (2026-08-30).</t>
        </is>
      </c>
      <c r="E39" s="69" t="inlineStr">
        <is>
          <t>Respondida</t>
        </is>
      </c>
      <c r="F39" s="69" t="inlineStr">
        <is>
          <t>Tu (decision de negocio)</t>
        </is>
      </c>
      <c r="G39" s="69" t="inlineStr">
        <is>
          <t>La gamificacion premia con reconocimiento. *Pregunta original:* ¿Qué desbloquea realmente el nivel? Define si la gamificación es reconocimiento o política comercial.</t>
        </is>
      </c>
    </row>
    <row r="40" ht="34.5" customHeight="1" s="36">
      <c r="A40" s="67" t="inlineStr">
        <is>
          <t>Q-24</t>
        </is>
      </c>
      <c r="B40" s="68" t="inlineStr">
        <is>
          <t>Resuelta</t>
        </is>
      </c>
      <c r="C40" s="68" t="n"/>
      <c r="D40" s="69" t="inlineStr">
        <is>
          <t>RESPONDIDA (2026-08-30).</t>
        </is>
      </c>
      <c r="E40" s="69" t="inlineStr">
        <is>
          <t>Respondida</t>
        </is>
      </c>
      <c r="F40" s="69" t="inlineStr">
        <is>
          <t>Tu (decision de negocio)</t>
        </is>
      </c>
      <c r="G40" s="69" t="inlineStr">
        <is>
          <t>Por ahora no hay premios en dinero. Habra un catalogo de premios canjeables con XP --viajes, cosas-- configurable desde el admin. Ver DEC-194. *Pregunta original:* ¿El XP podrá convertirse en dinero o bienes? Si no, el problema fiscal y legal se reduce drásticamente.</t>
        </is>
      </c>
    </row>
    <row r="41" ht="23.25" customHeight="1" s="36">
      <c r="A41" s="67" t="inlineStr">
        <is>
          <t>Q-25</t>
        </is>
      </c>
      <c r="B41" s="68" t="inlineStr">
        <is>
          <t>Resuelta</t>
        </is>
      </c>
      <c r="C41" s="68" t="n"/>
      <c r="D41" s="69" t="inlineStr">
        <is>
          <t>RESPONDIDA (2026-08-30).</t>
        </is>
      </c>
      <c r="E41" s="69" t="inlineStr">
        <is>
          <t>Respondida</t>
        </is>
      </c>
      <c r="F41" s="69" t="inlineStr">
        <is>
          <t>Tu (decision de negocio)</t>
        </is>
      </c>
      <c r="G41" s="69" t="inlineStr">
        <is>
          <t>El hito de consolidacion del referido es la primera campana completada. *Pregunta original:* ¿Cuál es el hito de consolidación del referido: aprobación, o primera campaña completada?</t>
        </is>
      </c>
    </row>
    <row r="42" ht="23.25" customHeight="1" s="36">
      <c r="A42" s="67" t="inlineStr">
        <is>
          <t>Q-26</t>
        </is>
      </c>
      <c r="B42" s="68" t="inlineStr">
        <is>
          <t>Resuelta</t>
        </is>
      </c>
      <c r="C42" s="68" t="n"/>
      <c r="D42" s="69" t="inlineStr">
        <is>
          <t>RESPONDIDA (2026-08-30).</t>
        </is>
      </c>
      <c r="E42" s="69" t="inlineStr">
        <is>
          <t>Respondida</t>
        </is>
      </c>
      <c r="F42" s="69" t="inlineStr">
        <is>
          <t>Tu (decision de negocio)</t>
        </is>
      </c>
      <c r="G42" s="69" t="inlineStr">
        <is>
          <t>Absorbida por Q-24: los retos internos premian con XP canjeable en el catalogo, no con dinero. *Pregunta original:* ¿Los retos internos pagarán en dinero, producto o acceso prioritario?</t>
        </is>
      </c>
    </row>
    <row r="43" ht="23.25" customHeight="1" s="36">
      <c r="A43" s="67" t="inlineStr">
        <is>
          <t>Q-27</t>
        </is>
      </c>
      <c r="B43" s="68" t="inlineStr">
        <is>
          <t>Resuelta</t>
        </is>
      </c>
      <c r="C43" s="68" t="n"/>
      <c r="D43" s="69" t="inlineStr">
        <is>
          <t>RESPONDIDA (2026-08-30). La Academia del creador QUEDA</t>
        </is>
      </c>
      <c r="E43" s="69" t="inlineStr">
        <is>
          <t>Respondida</t>
        </is>
      </c>
      <c r="F43" s="69" t="inlineStr">
        <is>
          <t>Tu (decision de negocio)</t>
        </is>
      </c>
      <c r="G43" s="69" t="inlineStr">
        <is>
          <t>, y cada modulo es configurable desde el admin. Ver DEC-196. *Pregunta original:* ¿Hay presupuesto para la Academia del creador? Es contenido, no software.</t>
        </is>
      </c>
    </row>
    <row r="44" ht="34.5" customHeight="1" s="36">
      <c r="A44" s="67" t="inlineStr">
        <is>
          <t>Q-29</t>
        </is>
      </c>
      <c r="B44" s="68" t="inlineStr">
        <is>
          <t>Resuelta</t>
        </is>
      </c>
      <c r="C44" s="68" t="n"/>
      <c r="D44" s="69" t="inlineStr">
        <is>
          <t>RESPONDIDA (2026-08-30).</t>
        </is>
      </c>
      <c r="E44" s="69" t="inlineStr">
        <is>
          <t>Respondida</t>
        </is>
      </c>
      <c r="F44" s="69" t="inlineStr">
        <is>
          <t>Tu (marca)</t>
        </is>
      </c>
      <c r="G44" s="69" t="inlineStr">
        <is>
          <t>La tipografia y la identidad visual se configuran desde el admin, no se eligen en el codigo. La propuesta (Sora + Plus Jakarta Sans + IBM Plex Mono) queda como valor de partida y se cambia sin tocar codigo (DEC-190). *Pregunta original:* ¿Se aprueba la propuesta tipográfica (Sora + Plus Jakarta Sans + IBM Plex Mono), o hay una tipografía corporativa ya comprada?</t>
        </is>
      </c>
    </row>
    <row r="45" ht="57" customHeight="1" s="36">
      <c r="A45" s="67" t="inlineStr">
        <is>
          <t>Q-30</t>
        </is>
      </c>
      <c r="B45" s="68" t="inlineStr">
        <is>
          <t>Resuelta</t>
        </is>
      </c>
      <c r="C45" s="68" t="n"/>
      <c r="D45" s="69" t="inlineStr">
        <is>
          <t>RESPONDIDA (2026-08-30).</t>
        </is>
      </c>
      <c r="E45" s="69" t="inlineStr">
        <is>
          <t>Respondida</t>
        </is>
      </c>
      <c r="F45" s="69" t="inlineStr">
        <is>
          <t>Tu (marca)</t>
        </is>
      </c>
      <c r="G45" s="69" t="inlineStr">
        <is>
          <t>El kit de marca si esta en el repositorio (marca/), pero al mirarlo para contestar salio algo que conviene saber: el logotipo horizontal y el vertical llevan el texto vivo con font-family="DejaVu Sans" --una tipografia de sistema, no una elegida-- y los derivados de public/img/brand/ son los contornos de esa misma. No hay un maestro editable con tipografia de diseno. La respuesta es la correcta: se hace configurable y se sube desde el admin cuando exista uno de verdad. Ver T-71. *Pregunta original:* ¿Existe versión editable del wordmark (AI/Figma) con la tipografía real que usó el diseñador? Si la hay, sustituye a mis contornos.</t>
        </is>
      </c>
    </row>
    <row r="46" ht="23.25" customHeight="1" s="36">
      <c r="A46" s="67" t="inlineStr">
        <is>
          <t>Q-31</t>
        </is>
      </c>
      <c r="B46" s="68" t="inlineStr">
        <is>
          <t>Resuelta</t>
        </is>
      </c>
      <c r="C46" s="68" t="n"/>
      <c r="D46" s="69" t="inlineStr">
        <is>
          <t>RESPONDIDA (2026-08-30).</t>
        </is>
      </c>
      <c r="E46" s="69" t="inlineStr">
        <is>
          <t>Respondida</t>
        </is>
      </c>
      <c r="F46" s="69" t="inlineStr">
        <is>
          <t>Tu (decision de negocio)</t>
        </is>
      </c>
      <c r="G46" s="69" t="inlineStr">
        <is>
          <t>Configurable desde el admin: la marca de la plataforma es un dato, no un archivo del repositorio. *Pregunta original:* ¿Se sustituye el kit original por las versiones corregidas, o conviven? Recomiendo sustituir: dos favicon distintos garantizan que alguien use el roto.</t>
        </is>
      </c>
    </row>
    <row r="47" ht="23.25" customHeight="1" s="36">
      <c r="A47" s="67" t="inlineStr">
        <is>
          <t>Q-33</t>
        </is>
      </c>
      <c r="B47" s="68" t="inlineStr">
        <is>
          <t>Resuelta</t>
        </is>
      </c>
      <c r="C47" s="68" t="n"/>
      <c r="D47" s="69" t="inlineStr">
        <is>
          <t>RESUELTA (negocio, 2026-08-22): — todo creador debe tener datos fiscales legales y vigentes.</t>
        </is>
      </c>
      <c r="E47" s="69" t="inlineStr">
        <is>
          <t>—</t>
        </is>
      </c>
      <c r="F47" s="69" t="inlineStr">
        <is>
          <t>Tu (decision de negocio)</t>
        </is>
      </c>
      <c r="G47" s="69" t="inlineStr">
        <is>
          <t>No hay pago informal. Sin ellos no se activa; si no se regulariza, se rechaza. → BR-CREATOR-013</t>
        </is>
      </c>
    </row>
    <row r="48" ht="57" customHeight="1" s="36">
      <c r="A48" s="67" t="inlineStr">
        <is>
          <t>Q-34</t>
        </is>
      </c>
      <c r="B48" s="68" t="inlineStr">
        <is>
          <t>Resuelta</t>
        </is>
      </c>
      <c r="C48" s="68" t="n"/>
      <c r="D48" s="69" t="inlineStr">
        <is>
          <t>RESPONDIDA (2026-08-30).</t>
        </is>
      </c>
      <c r="E48" s="69" t="inlineStr">
        <is>
          <t>Respondida</t>
        </is>
      </c>
      <c r="F48" s="69" t="inlineStr">
        <is>
          <t>Tu (decision de negocio)</t>
        </is>
      </c>
      <c r="G48" s="69" t="inlineStr">
        <is>
          <t>Colombia no es prioritaria en esta primera fase. *Pregunta original:* ⚠️ ADOPTADA MI RECOMENDACIÓN, contraria a lo que dijiste — revísala. Dijiste *"DIAN directo"*. Recomiendo empezar con un proveedor tecnológico certificado y dejar la habilitación propia para después. Motivo: habilitarse como proveedor propio ante la DIAN es un proceso de meses con pruebas de conformidad, y bloquearía la operación en Colombia mientras tanto. Con proveedor se factura en semanas y la habilitación propia se hace en paralelo sin urgencia. Si tu prioridad es no depender de terceros, dilo y lo revierto</t>
        </is>
      </c>
    </row>
    <row r="49" ht="34.5" customHeight="1" s="36">
      <c r="A49" s="67" t="inlineStr">
        <is>
          <t>Q-35</t>
        </is>
      </c>
      <c r="B49" s="68" t="inlineStr">
        <is>
          <t>Resuelta</t>
        </is>
      </c>
      <c r="C49" s="68" t="n"/>
      <c r="D49" s="69" t="inlineStr">
        <is>
          <t>ADOPTADA (recomendación, 2026-08-22):</t>
        </is>
      </c>
      <c r="E49" s="69" t="inlineStr">
        <is>
          <t>—</t>
        </is>
      </c>
      <c r="F49" s="69" t="inlineStr">
        <is>
          <t>Tu (decision de negocio)</t>
        </is>
      </c>
      <c r="G49" s="69" t="inlineStr">
        <is>
          <t>el cliente asume producto y logística, y ambos se registran como *Direct Cost* de la campaña e impactan el margen (BR-FIN-011, que ya lo decía). El creador asume el costo de creación, no el del producto — eso ya lo confirmaste. El producto no se devuelve salvo pacto expreso en la campaña</t>
        </is>
      </c>
    </row>
    <row r="50" ht="45.75" customHeight="1" s="36">
      <c r="A50" s="67" t="inlineStr">
        <is>
          <t>Q-36</t>
        </is>
      </c>
      <c r="B50" s="68" t="inlineStr">
        <is>
          <t>Resuelta</t>
        </is>
      </c>
      <c r="C50" s="68" t="n"/>
      <c r="D50" s="69" t="inlineStr">
        <is>
          <t>RESUELTA (negocio, 2026-08-22): — todo por Google Workspace por ahora — el volumen actual no llega a 100 correos.</t>
        </is>
      </c>
      <c r="E50" s="69" t="inlineStr">
        <is>
          <t>Configuración</t>
        </is>
      </c>
      <c r="F50" s="69" t="inlineStr">
        <is>
          <t>Tu (decision de negocio)</t>
        </is>
      </c>
      <c r="G50" s="69" t="inlineStr">
        <is>
          <t>El proveedor transaccional queda como opción de configuración, no como código nuevo: el correo es una conexión de integración con purpose = transactional_mail (docs/12), así que cambiarlo es editar una conexión en el back-office. Disparador para cambiar, escrito ahora para no discutirlo luego: cuando un solo envío de campaña supere ~200 destinatarios en un día, o cuando empiecen a salir avisos de pago. Ver docs/fase-2/2.10 §8</t>
        </is>
      </c>
    </row>
    <row r="51" ht="34.5" customHeight="1" s="36">
      <c r="A51" s="67" t="inlineStr">
        <is>
          <t>Q-37</t>
        </is>
      </c>
      <c r="B51" s="68" t="inlineStr">
        <is>
          <t>Resuelta</t>
        </is>
      </c>
      <c r="C51" s="68" t="n"/>
      <c r="D51" s="69" t="inlineStr">
        <is>
          <t>ADOPTADA (recomendación, 2026-08-22):</t>
        </is>
      </c>
      <c r="E51" s="69" t="inlineStr">
        <is>
          <t>—</t>
        </is>
      </c>
      <c r="F51" s="69" t="inlineStr">
        <is>
          <t>Tu (decision de negocio)</t>
        </is>
      </c>
      <c r="G51" s="69" t="inlineStr">
        <is>
          <t>min_age = 18 en alcohol, tabaco y vapeo, apuestas y casinos, contenido adulto, armas, criptoactivos, préstamos y créditos, y suplementos de pérdida de peso. Los tres últimos no son ilegales para menores pero sí indefendibles reputacionalmente. Los valores son datos del catálogo categories, no código: se ajustan sin desplegar</t>
        </is>
      </c>
    </row>
    <row r="52" ht="23.25" customHeight="1" s="36">
      <c r="A52" s="67" t="inlineStr">
        <is>
          <t>Q-38</t>
        </is>
      </c>
      <c r="B52" s="68" t="inlineStr">
        <is>
          <t>Resuelta</t>
        </is>
      </c>
      <c r="C52" s="68" t="n"/>
      <c r="D52" s="69" t="inlineStr">
        <is>
          <t>RESPONDIDA (2026-08-30).</t>
        </is>
      </c>
      <c r="E52" s="69" t="inlineStr">
        <is>
          <t>Respondida</t>
        </is>
      </c>
      <c r="F52" s="69" t="inlineStr">
        <is>
          <t>Tu (decision de negocio)</t>
        </is>
      </c>
      <c r="G52" s="69" t="inlineStr">
        <is>
          <t>El numero de desarrolladores no es relevante para el plan: el trabajo se hace con IA. *Pregunta original:* ¿Cuántos desarrolladores? Con uno solo las estimaciones se multiplican por 1,7</t>
        </is>
      </c>
    </row>
    <row r="53" ht="57" customHeight="1" s="36">
      <c r="A53" s="67" t="inlineStr">
        <is>
          <t>Q-40</t>
        </is>
      </c>
      <c r="B53" s="68" t="inlineStr">
        <is>
          <t>Resuelta</t>
        </is>
      </c>
      <c r="C53" s="68" t="n"/>
      <c r="D53" s="69" t="inlineStr">
        <is>
          <t>RESPONDIDA (2026-08-30).</t>
        </is>
      </c>
      <c r="E53" s="69" t="inlineStr">
        <is>
          <t>Respondida</t>
        </is>
      </c>
      <c r="F53" s="69" t="inlineStr">
        <is>
          <t>Tu contador</t>
        </is>
      </c>
      <c r="G53" s="69" t="inlineStr">
        <is>
          <t>29,5%, y con una forma concreta: se pacta el NETO que el creador recibe, el sistema calcula el bruto con la retencion configurada, y se comprueba contra un umbral de rentabilidad tambien configurable. Ver DEC-191. *Pregunta original:* 🔴 SIGUE ABIERTA — pero ya no puede pasar desapercibida. Con qué tasa se retiene a un creador no domiciliado. DEC-048 no la responde (nadie inventa una tasa tributaria): lo que hace es impedir que un perfil fiscal se apruebe con la retención sin decidir, y obligar a citar la norma cuando se decida. Requiere contador</t>
        </is>
      </c>
    </row>
    <row r="54" ht="23.25" customHeight="1" s="36">
      <c r="A54" s="67" t="inlineStr">
        <is>
          <t>Q-41</t>
        </is>
      </c>
      <c r="B54" s="68" t="inlineStr">
        <is>
          <t>Resuelta</t>
        </is>
      </c>
      <c r="C54" s="68" t="n"/>
      <c r="D54" s="69" t="inlineStr">
        <is>
          <t>RESUELTA (negocio, 2026-08-22): — 30 días de gracia antes de rechazar por falta de datos fiscales.</t>
        </is>
      </c>
      <c r="E54" s="69" t="inlineStr">
        <is>
          <t>—</t>
        </is>
      </c>
      <c r="F54" s="69" t="inlineStr">
        <is>
          <t>Tu (decision de negocio)</t>
        </is>
      </c>
      <c r="G54" s="69" t="inlineStr">
        <is>
          <t>Configurable. → BR-CREATOR-014</t>
        </is>
      </c>
    </row>
    <row r="55" ht="15" customHeight="1" s="36">
      <c r="A55" s="67" t="inlineStr">
        <is>
          <t>Q-42</t>
        </is>
      </c>
      <c r="B55" s="68" t="inlineStr">
        <is>
          <t>Resuelta</t>
        </is>
      </c>
      <c r="C55" s="68" t="n"/>
      <c r="D55" s="69" t="inlineStr">
        <is>
          <t>RESUELTA (2026-08-22): — se factura a todos los países desde Perú.</t>
        </is>
      </c>
      <c r="E55" s="69" t="inlineStr">
        <is>
          <t>—</t>
        </is>
      </c>
      <c r="F55" s="69" t="inlineStr">
        <is>
          <t>Tu (decision de negocio)</t>
        </is>
      </c>
      <c r="G55" s="69" t="inlineStr">
        <is>
          <t>Ver DEC-047. Los países se resuelven uno a uno más adelante; las tablas específicas por país se crearán en su momento</t>
        </is>
      </c>
    </row>
    <row r="56" ht="57" customHeight="1" s="36">
      <c r="A56" s="67" t="inlineStr">
        <is>
          <t>Q-44</t>
        </is>
      </c>
      <c r="B56" s="68" t="inlineStr">
        <is>
          <t>Resuelta</t>
        </is>
      </c>
      <c r="C56" s="68" t="n"/>
      <c r="D56" s="69" t="inlineStr">
        <is>
          <t>RESPONDIDA (2026-08-30).</t>
        </is>
      </c>
      <c r="E56" s="69" t="inlineStr">
        <is>
          <t>Respondida</t>
        </is>
      </c>
      <c r="F56" s="69" t="inlineStr">
        <is>
          <t>Tu contador</t>
        </is>
      </c>
      <c r="G56" s="69" t="inlineStr">
        <is>
          <t>Exportacion de servicios: no aplica IGV. Se siembra asi y se puede configurar por pais y por tipo de operacion. *Pregunta original:* ⚠️ §56 — nuevo, abierto por DEC-047. ¿Los servicios de marketing de influencers prestados a un cliente no domiciliado califican como exportación de servicios (sin IGV), o van gravados al 18 %? Depende de las condiciones concurrentes del art. 33-A de la Ley del IGV y de la lista de servicios aplicable, cuya vigencia he encontrado contradicha entre fuentes. El modelo admite las cuatro opciones y no fuerza ninguna. Requiere contador</t>
        </is>
      </c>
    </row>
    <row r="57" ht="23.25" customHeight="1" s="36">
      <c r="A57" s="67" t="inlineStr">
        <is>
          <t>Q-45</t>
        </is>
      </c>
      <c r="B57" s="68" t="inlineStr">
        <is>
          <t>Resuelta</t>
        </is>
      </c>
      <c r="C57" s="68" t="n"/>
      <c r="D57" s="69" t="inlineStr">
        <is>
          <t>RESUELTA (2026-08-22): — opción B — sin datos fiscales no hay alta, pero se acompaña al creador a formalizarse.</t>
        </is>
      </c>
      <c r="E57" s="69" t="inlineStr">
        <is>
          <t>—</t>
        </is>
      </c>
      <c r="F57" s="69" t="inlineStr">
        <is>
          <t>Tu (decision de negocio)</t>
        </is>
      </c>
      <c r="G57" s="69" t="inlineStr">
        <is>
          <t>Ver DEC-049. El pago a un tercero no se implementa; el análisis queda en docs/fase-2/2.14-PAGO-A-TERCEROS.md</t>
        </is>
      </c>
    </row>
    <row r="58" ht="68.25" customHeight="1" s="36">
      <c r="A58" s="67" t="inlineStr">
        <is>
          <t>Q-46</t>
        </is>
      </c>
      <c r="B58" s="68" t="inlineStr">
        <is>
          <t>Resuelta</t>
        </is>
      </c>
      <c r="C58" s="68" t="n"/>
      <c r="D58" s="69" t="inlineStr">
        <is>
          <t>RESPONDIDA (2026-08-30).</t>
        </is>
      </c>
      <c r="E58" s="69" t="inlineStr">
        <is>
          <t>Respondida</t>
        </is>
      </c>
      <c r="F58" s="69" t="inlineStr">
        <is>
          <t>Tu (decision de negocio)</t>
        </is>
      </c>
      <c r="G58" s="69" t="inlineStr">
        <is>
          <t>Al publicar una version nueva: correo con enlace de aceptacion, 15 dias de plazo, aviso en la bandeja interna y recordatorio al entrar. Cumplido el plazo sin aceptar, la sesion cae en una pantalla que exige aceptar para continuar; si no, solo lectura durante 30 dias. Los dos plazos son configurables. Ver DEC-193. *Pregunta original:* ⚠️ §56 — nuevo, abierto por DEC-059. Cuando se publique una versión nueva de los términos, ¿qué pasa con los creadores ya activos? Hoy el sistema no los desactiva: siguen activos con la aceptación de la versión anterior. Las opciones son (a) dejarlo así y pedir la nueva aceptación solo la próxima vez que hagan algo relevante, (b) bloquear invitaciones hasta que re-acepten, (c) suspenderlos. Tiene consecuencias legales y operativas, y no lo decido yo</t>
        </is>
      </c>
    </row>
    <row r="59" ht="34.5" customHeight="1" s="36">
      <c r="A59" s="67" t="inlineStr">
        <is>
          <t>Q-51</t>
        </is>
      </c>
      <c r="B59" s="68" t="inlineStr">
        <is>
          <t>Resuelta</t>
        </is>
      </c>
      <c r="C59" s="68" t="n"/>
      <c r="D59" s="69" t="inlineStr">
        <is>
          <t>RESUELTA (2026-08-25, iteracion 4.5). — La pantalla de entidades legales existe: alta y edicion de sociedades, cobertura por pais con vigencia, y baja que cierra las coberturas abiertas (DEC-081).</t>
        </is>
      </c>
      <c r="E59" s="69" t="inlineStr">
        <is>
          <t>—</t>
        </is>
      </c>
      <c r="F59" s="69" t="inlineStr">
        <is>
          <t>Tu (decision de negocio)</t>
        </is>
      </c>
      <c r="G59" s="69" t="inlineStr">
        <is>
          <t>El listado enseña arriba los paises con clientes que hoy no puede facturar nadie, que es la pregunta por la que se entra. Al construirla aparecio un bloqueo real del esquema: desactivar sin cerrar la cobertura dejaba el pais sin cubrir y sin poder cubrirse</t>
        </is>
      </c>
    </row>
    <row r="60" ht="79.5" customHeight="1" s="36">
      <c r="A60" s="67" t="inlineStr">
        <is>
          <t>Q-63</t>
        </is>
      </c>
      <c r="B60" s="68" t="inlineStr">
        <is>
          <t>Resuelta</t>
        </is>
      </c>
      <c r="C60" s="68" t="n"/>
      <c r="D60" s="69" t="inlineStr">
        <is>
          <t>RESPONDIDA (2026-08-30).</t>
        </is>
      </c>
      <c r="E60" s="69" t="inlineStr">
        <is>
          <t>Respondida</t>
        </is>
      </c>
      <c r="F60" s="69" t="inlineStr">
        <is>
          <t>Tu contador</t>
        </is>
      </c>
      <c r="G60" s="69" t="inlineStr">
        <is>
          <t>NO se fija un lado del tipo de cambio en el codigo: se configura desde el admin, y por tipo de transaccion --lo que se paga a un creador, lo que se le cobra a un cliente, un gasto-- porque no tienen por que usar el mismo. Ver DEC-195. *Pregunta original:* 🔴 .Que LADO del tipo de cambio se aplica a cada operacion: compra, venta o media? SUNAT publica los dos y 9.1 los guarda separados (side), sin valor por defecto a proposito, para que nadie lo elija sin querer (DEC-159). Es una decision contable y no tecnica: cada eleccion da un margen distinto para los mismos hechos, y el dia que se elija cambian todos los margenes historicos a la vez. Bloquea de verdad: 9.10a y 9.10 agrupan por moneda en vez de sumar por esto (DEC-180), y la rentabilidad no da porcentaje cuando hay dos monedas (DEC-185). Se abrio en 9.1 y esta fila nace en 9.15</t>
        </is>
      </c>
    </row>
  </sheetData>
  <autoFilter ref="A2:G60"/>
  <mergeCells count="1">
    <mergeCell ref="A1:G1"/>
  </mergeCells>
  <conditionalFormatting sqref="B3:B60">
    <cfRule type="cellIs" rank="0" priority="2" equalAverage="0" operator="equal" aboveAverage="0" dxfId="19" text="" percent="0" bottom="0">
      <formula>"Abierta"</formula>
    </cfRule>
    <cfRule type="cellIs" rank="0" priority="3" equalAverage="0" operator="equal" aboveAverage="0" dxfId="20" text="" percent="0" bottom="0">
      <formula>"Resuelta"</formula>
    </cfRule>
    <cfRule type="cellIs" rank="0" priority="4" equalAverage="0" operator="equal" aboveAverage="0" dxfId="20" text="" percent="0" bottom="0">
      <formula>"Respondida"</formula>
    </cfRule>
  </conditionalFormatting>
  <conditionalFormatting sqref="C3:C60">
    <cfRule type="cellIs" rank="0" priority="5" equalAverage="0" operator="equal" aboveAverage="0" dxfId="19" text="" percent="0" bottom="0">
      <formula>"Critica"</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F247"/>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35" min="1" max="1"/>
    <col width="11" customWidth="1" style="35" min="2" max="2"/>
    <col width="10" customWidth="1" style="35" min="3" max="3"/>
    <col width="66" customWidth="1" style="35" min="4" max="4"/>
    <col width="26" customWidth="1" style="35" min="5" max="5"/>
    <col width="120" customWidth="1" style="35" min="6" max="6"/>
  </cols>
  <sheetData>
    <row r="1" ht="33.75" customHeight="1" s="36">
      <c r="A1" s="63" t="inlineStr">
        <is>
          <t>Las decisiones de diseño y de negocio (DEC-XXX) del registro. Una decisión es una elección que ya se tomó y que el sistema respeta; «Propuesta» significa que está razonada y construida pero sin firma formal tuya. Fuente: docs/05-DECISION-LOG.md. Las más recientes arriba.</t>
        </is>
      </c>
    </row>
    <row r="2" ht="24" customHeight="1" s="36">
      <c r="A2" s="64" t="inlineStr">
        <is>
          <t>ID</t>
        </is>
      </c>
      <c r="B2" s="64" t="inlineStr">
        <is>
          <t>Estado</t>
        </is>
      </c>
      <c r="C2" s="64" t="inlineStr">
        <is>
          <t>Prioridad</t>
        </is>
      </c>
      <c r="D2" s="64" t="inlineStr">
        <is>
          <t>Qué se decidió</t>
        </is>
      </c>
      <c r="E2" s="64" t="inlineStr">
        <is>
          <t>Dónde se aplicó</t>
        </is>
      </c>
      <c r="F2" s="64" t="inlineStr">
        <is>
          <t>Detalle y por qué</t>
        </is>
      </c>
    </row>
    <row r="3" ht="79.5" customHeight="1" s="36">
      <c r="A3" s="67" t="inlineStr">
        <is>
          <t>DEC-242</t>
        </is>
      </c>
      <c r="B3" s="68" t="inlineStr">
        <is>
          <t>Decidida</t>
        </is>
      </c>
      <c r="C3" s="68" t="n"/>
      <c r="D3" s="69" t="inlineStr">
        <is>
          <t>El contacto de una marca es una FILA, no un correo</t>
        </is>
      </c>
      <c r="E3" s="69" t="inlineStr">
        <is>
          <t>9.21c</t>
        </is>
      </c>
      <c r="F3" s="69" t="inlineStr">
        <is>
          <t>Hoy el correo esta en «log» --no sale del servidor-- asi que una instalacion con el SMTP a medio configurar perderia cada contacto sin que nadie se entere. Un correo que no llega no deja rastro; una fila si, y ademas se puede contar. El aviso por correo va encima de la fila, no en lugar de ella.</t>
        </is>
      </c>
    </row>
    <row r="4" ht="57" customHeight="1" s="36">
      <c r="A4" s="67" t="inlineStr">
        <is>
          <t>DEC-243</t>
        </is>
      </c>
      <c r="B4" s="68" t="inlineStr">
        <is>
          <t>Decidida</t>
        </is>
      </c>
      <c r="C4" s="68" t="n"/>
      <c r="D4" s="69" t="inlineStr">
        <is>
          <t>Misma forma que creator_applications, y solo lo abierto ocupa la puerta</t>
        </is>
      </c>
      <c r="E4" s="69" t="inlineStr">
        <is>
          <t>9.21c</t>
        </is>
      </c>
      <c r="F4" s="69" t="inlineStr">
        <is>
          <t>Son el mismo problema: alguien de fuera deja sus datos y alguien de dentro los atiende. Copiar la forma que ya funciona sale mas barato que inventar la segunda, y quien conozca una bandeja conoce las dos. Lo cerrado deja el hueco libre: quien vuelve a escribir el ano que viene es un contacto nuevo de verdad, no un duplicado.</t>
        </is>
      </c>
    </row>
    <row r="5" ht="79.5" customHeight="1" s="36">
      <c r="A5" s="67" t="inlineStr">
        <is>
          <t>DEC-244</t>
        </is>
      </c>
      <c r="B5" s="68" t="inlineStr">
        <is>
          <t>Decidida</t>
        </is>
      </c>
      <c r="C5" s="68" t="n"/>
      <c r="D5" s="69" t="inlineStr">
        <is>
          <t>Descartar no es borrar, y convertir se hace en dos pasos</t>
        </is>
      </c>
      <c r="E5" s="69" t="inlineStr">
        <is>
          <t>9.21c</t>
        </is>
      </c>
      <c r="F5" s="69" t="inlineStr">
        <is>
          <t>De esta tabla salen «.de donde salio este cliente?» y «.cuantos descartamos y por que?»; borrar se lleva las dos por delante. Descartar exige un motivo de al menos diez caracteres. Y convertir exige decir en que cliente: crear ese cliente se sigue haciendo en su pantalla de siempre, porque duplicar el formulario seria tener dos sitios donde se crea un cliente.</t>
        </is>
      </c>
    </row>
    <row r="6" ht="34.5" customHeight="1" s="36">
      <c r="A6" s="67" t="inlineStr">
        <is>
          <t>DEC-238</t>
        </is>
      </c>
      <c r="B6" s="68" t="inlineStr">
        <is>
          <t>Decidida</t>
        </is>
      </c>
      <c r="C6" s="68" t="n"/>
      <c r="D6" s="69" t="inlineStr">
        <is>
          <t>/ habla a las MARCAS y /creadores a los creadores</t>
        </is>
      </c>
      <c r="E6" s="69" t="inlineStr">
        <is>
          <t>9.21b</t>
        </is>
      </c>
      <c r="F6" s="69" t="inlineStr">
        <is>
          <t>Es un mercado de dos lados y el lado que PAGA se pone en la puerta: una portada que abre reclutando creadores se lee como «agencia buscando talento». Los creadores llegan por un enlace, no por la home. Las dos se enlazan entre si. El argumento en contra queda escrito: si el cuello de botella es tener creadores, el trafico que hace falta primero es el suyo; aun asi la home no cambia, porque moverla despues cuesta posicionamiento.</t>
        </is>
      </c>
    </row>
    <row r="7" ht="23.25" customHeight="1" s="36">
      <c r="A7" s="67" t="inlineStr">
        <is>
          <t>DEC-239</t>
        </is>
      </c>
      <c r="B7" s="68" t="inlineStr">
        <is>
          <t>Decidida</t>
        </is>
      </c>
      <c r="C7" s="68" t="n"/>
      <c r="D7" s="69" t="inlineStr">
        <is>
          <t>El texto de la portada es un dato, y cuelga de la marca</t>
        </is>
      </c>
      <c r="E7" s="69" t="inlineStr">
        <is>
          <t>9.21b</t>
        </is>
      </c>
      <c r="F7" s="69" t="inlineStr">
        <is>
          <t>DEC-190 en el sitio donde mas se nota: la marca del panel la ve quien ya entro; esto lo ve quien todavia esta decidiendo si te escribe. landing_pages lleva platform_brand_id: es UNA columna sobre el eje en el que el producto esta construido --distinto de las asignaciones de tres ejes de 9.17d, que resolvian un problema inexistente--. Dos paginas y no un gestor de contenidos: cada una tiene su formulario y su publico, asi que son codigo.</t>
        </is>
      </c>
    </row>
    <row r="8" ht="34.5" customHeight="1" s="36">
      <c r="A8" s="67" t="inlineStr">
        <is>
          <t>DEC-240</t>
        </is>
      </c>
      <c r="B8" s="68" t="inlineStr">
        <is>
          <t>Decidida</t>
        </is>
      </c>
      <c r="C8" s="68" t="n"/>
      <c r="D8" s="69" t="inlineStr">
        <is>
          <t>La postulacion publica escribe en creator_applications, que ya existia</t>
        </is>
      </c>
      <c r="E8" s="69" t="inlineStr">
        <is>
          <t>9.21b</t>
        </is>
      </c>
      <c r="F8" s="69" t="inlineStr">
        <is>
          <t>Existe desde la Fase 2 con source por defecto «landing», su bandeja y su unica de una solicitud abierta por correo; faltaba la landing que escribiera. Un formulario publico que escribe lleva throttle:5,1 y un campo trampa que una persona no ve; si viene lleno se contesta «gracias» y no se escribe nada. Nada de CAPTCHA: barrera para quien lee con dificultad y tramite de segundos para quien automatiza. Vive en Creator y no en Core: T-74 aplicada antes de romperla.</t>
        </is>
      </c>
    </row>
    <row r="9" ht="45.75" customHeight="1" s="36">
      <c r="A9" s="67" t="inlineStr">
        <is>
          <t>DEC-241</t>
        </is>
      </c>
      <c r="B9" s="68" t="inlineStr">
        <is>
          <t>Decidida</t>
        </is>
      </c>
      <c r="C9" s="68" t="n"/>
      <c r="D9" s="69" t="inlineStr">
        <is>
          <t>Sin portada se va al acceso, no a un 404</t>
        </is>
      </c>
      <c r="E9" s="69" t="inlineStr">
        <is>
          <t>9.21b</t>
        </is>
      </c>
      <c r="F9" s="69" t="inlineStr">
        <is>
          <t>Una instalacion recien migrada no tiene contenido que ensenar, y eso no puede ser un error en la cara de un visitante: es exactamente lo que habia antes. Lo mismo al apagar una portada desde el admin, que es una decision de contenido y no una averia.</t>
        </is>
      </c>
    </row>
    <row r="10" ht="57" customHeight="1" s="36">
      <c r="A10" s="67" t="inlineStr">
        <is>
          <t>DEC-236</t>
        </is>
      </c>
      <c r="B10" s="68" t="inlineStr">
        <is>
          <t>Decidida</t>
        </is>
      </c>
      <c r="C10" s="68" t="n"/>
      <c r="D10" s="69" t="inlineStr">
        <is>
          <t>Todo lo que exige sesion vive bajo /backoffice</t>
        </is>
      </c>
      <c r="E10" s="69" t="inlineStr">
        <is>
          <t>9.21a</t>
        </is>
      </c>
      <c r="F10" s="69" t="inlineStr">
        <is>
          <t>Lo vio el negocio antes de escribir una linea de la landing: /creadores tiene que ser la puerta PUBLICA de los creadores, y descubrirlo despues de publicar habria roto enlaces ya compartidos. Dentro entra todo lo que pide sesion sea de quien sea; lo que cada uno ve lo siguen decidiendo sus permisos. Costo una linea porque docs/08 prohibe escribir URLs a mano en las vistas: comprobado, cero resultados en app/, resources/ y config/.</t>
        </is>
      </c>
    </row>
    <row r="11" ht="68.25" customHeight="1" s="36">
      <c r="A11" s="67" t="inlineStr">
        <is>
          <t>DEC-237</t>
        </is>
      </c>
      <c r="B11" s="68" t="inlineStr">
        <is>
          <t>Decidida</t>
        </is>
      </c>
      <c r="C11" s="68" t="n"/>
      <c r="D11" s="69" t="inlineStr">
        <is>
          <t>Veintiuna rutas se quedan fuera, y cada una con su motivo escrito</t>
        </is>
      </c>
      <c r="E11" s="69" t="inlineStr">
        <is>
          <t>9.21a</t>
        </is>
      </c>
      <c r="F11" s="69" t="inlineStr">
        <is>
          <t>El acceso y la recuperacion son la puerta; la invitacion y la aprobacion llegan por enlace con token a alguien que no tiene cuenta; el logotipo y el favicon los pinta la pantalla de acceso. Dos comparten primer segmento con algo que si se mudo: /contrasena frente a /contrasena/nueva, y /marca frente a /marca/logo. La lista vive en una prueba que recorre todas las rutas con nombre.</t>
        </is>
      </c>
    </row>
    <row r="12" ht="68.25" customHeight="1" s="36">
      <c r="A12" s="67" t="inlineStr">
        <is>
          <t>DEC-233</t>
        </is>
      </c>
      <c r="B12" s="68" t="inlineStr">
        <is>
          <t>Decidida</t>
        </is>
      </c>
      <c r="C12" s="68" t="n"/>
      <c r="D12" s="69" t="inlineStr">
        <is>
          <t>La configuracion tiene UNA sola puerta, y el menu lateral solo lleva trabajo</t>
        </is>
      </c>
      <c r="E12" s="69" t="inlineStr">
        <is>
          <t>9.20</t>
        </is>
      </c>
      <c r="F12" s="69" t="inlineStr">
        <is>
          <t>Nueve pantallas estaban dos veces --sueltas en el menu y dentro de /configuracion--, asi que entrar desde el panel dejaba al usuario en una pantalla que se veia igual que Campanas y con el menu marcando otra entrada. El menu queda en tres grupos --Operacion, Finanzas, Registros-- mas Ajustes: Configuracion, y un grupo del que no se puede ver nada desaparece entero.</t>
        </is>
      </c>
    </row>
    <row r="13" ht="68.25" customHeight="1" s="36">
      <c r="A13" s="67" t="inlineStr">
        <is>
          <t>DEC-234</t>
        </is>
      </c>
      <c r="B13" s="68" t="inlineStr">
        <is>
          <t>Decidida</t>
        </is>
      </c>
      <c r="C13" s="68" t="n"/>
      <c r="D13" s="69" t="inlineStr">
        <is>
          <t>El orden de los grupos es una decision y vive en el registro, no en la plantilla</t>
        </is>
      </c>
      <c r="E13" s="69" t="inlineStr">
        <is>
          <t>9.20</t>
        </is>
      </c>
      <c r="F13" s="69" t="inlineStr">
        <is>
          <t>revision() ordena por URGENCIA, que es lo correcto para una lista de avisos y lo peor para una navegacion: «Fiscal y facturacion» saldria arriba o abajo segun que falte hoy, y un sitio que cambia de forma segun el dia no se aprende. Por lo mismo, que rutas son configuracion sale de Preparacion::rutas() y no de la plantilla.</t>
        </is>
      </c>
    </row>
    <row r="14" ht="45.75" customHeight="1" s="36">
      <c r="A14" s="67" t="inlineStr">
        <is>
          <t>DEC-235</t>
        </is>
      </c>
      <c r="B14" s="68" t="inlineStr">
        <is>
          <t>Decidida</t>
        </is>
      </c>
      <c r="C14" s="68" t="n"/>
      <c r="D14" s="69" t="inlineStr">
        <is>
          <t>Los catalogos son configuracion, con portada propia</t>
        </is>
      </c>
      <c r="E14" s="69" t="inlineStr">
        <is>
          <t>9.20</t>
        </is>
      </c>
      <c r="F14" s="69" t="inlineStr">
        <is>
          <t>Los seis colgaban del menu bajo un titulo que no era un sitio: era una etiqueta. Ahora son un area con portada --cuantas filas y cuantas activas-- y su aviso: una lista sin ninguna fila activa sale en rojo, porque un catalogo vacio no da error, deja un desplegable vacio. La pantalla de cada catalogo no se mueve.</t>
        </is>
      </c>
    </row>
    <row r="15" ht="57" customHeight="1" s="36">
      <c r="A15" s="67" t="inlineStr">
        <is>
          <t>DEC-228</t>
        </is>
      </c>
      <c r="B15" s="68" t="inlineStr">
        <is>
          <t>Decidida</t>
        </is>
      </c>
      <c r="C15" s="68" t="n"/>
      <c r="D15" s="69" t="inlineStr">
        <is>
          <t>Los tipos de comprobante son un catalogo por pais, no un enum en el codigo</t>
        </is>
      </c>
      <c r="E15" s="69" t="inlineStr">
        <is>
          <t>9.12</t>
        </is>
      </c>
      <c r="F15" s="69" t="inlineStr">
        <is>
          <t>ck_ds_type decia IN ('invoice','boleta','credit_note','debit_note','other') desde la Fase 2: la boleta es peruana, el CFDI mexicano no estaba y anadir uno exigia desplegar. Cada tipo declara su codigo oficial de SUNAT, la forma de su serie, como se le pide a una persona y cuantos digitos tiene el correlativo. No contradice a DEC-026: el codigo SE RAMIFICA por proposito de integracion, mientras que el tipo de comprobante NO se ramifica, VIAJA al emisor electronico.</t>
        </is>
      </c>
    </row>
    <row r="16" ht="57" customHeight="1" s="36">
      <c r="A16" s="67" t="inlineStr">
        <is>
          <t>DEC-229</t>
        </is>
      </c>
      <c r="B16" s="68" t="inlineStr">
        <is>
          <t>Decidida</t>
        </is>
      </c>
      <c r="C16" s="68" t="n"/>
      <c r="D16" s="69" t="inlineStr">
        <is>
          <t>El numero se reserva bajo bloqueo de la fila de la serie, no con MAX()+1</t>
        </is>
      </c>
      <c r="E16" s="69" t="inlineStr">
        <is>
          <t>9.12</t>
        </is>
      </c>
      <c r="F16" s="69" t="inlineStr">
        <is>
          <t>MAX()+1 es correcto exactamente hasta la primera vez que dos personas emiten a la vez, y eso no es raro: es un cierre de mes. El bloqueo pone en fila a la segunda peticion antes de que lea el contador. Y aun asi existe uq_dn_number: el bloqueo es la primera linea y la unica es la ultima. Medido con dos clientes de verdad (patron de 4.11), con su contraejemplo: sin FOR UPDATE, B no espera.</t>
        </is>
      </c>
    </row>
    <row r="17" ht="57" customHeight="1" s="36">
      <c r="A17" s="67" t="inlineStr">
        <is>
          <t>DEC-230</t>
        </is>
      </c>
      <c r="B17" s="68" t="inlineStr">
        <is>
          <t>Decidida</t>
        </is>
      </c>
      <c r="C17" s="68" t="n"/>
      <c r="D17" s="69" t="inlineStr">
        <is>
          <t>Cada numero que sale queda escrito, y el hueco se explica en vez de taparse</t>
        </is>
      </c>
      <c r="E17" s="69" t="inlineStr">
        <is>
          <t>9.12</t>
        </is>
      </c>
      <c r="F17" s="69" t="inlineStr">
        <is>
          <t>Reservar y no emitir deja un numero sin documento, y eso NO se arregla reutilizandolo: reutilizarlo ES el duplicado. document_numbers guarda cada numero con su estado; reserved es el unico del que se sale, used dice a que documento fue y voided dice por que, con un motivo de al menos diez caracteres. Un hueco explicado es defendible ante un requerimiento; uno mudo, no.</t>
        </is>
      </c>
    </row>
    <row r="18" ht="68.25" customHeight="1" s="36">
      <c r="A18" s="67" t="inlineStr">
        <is>
          <t>DEC-231</t>
        </is>
      </c>
      <c r="B18" s="68" t="inlineStr">
        <is>
          <t>Decidida</t>
        </is>
      </c>
      <c r="C18" s="68" t="n"/>
      <c r="D18" s="69" t="inlineStr">
        <is>
          <t>Una sola serie por defecto por (sociedad, tipo, entorno), y la forma la impone el pais</t>
        </is>
      </c>
      <c r="E18" s="69" t="inlineStr">
        <is>
          <t>9.12</t>
        </is>
      </c>
      <c r="F18" s="69" t="inlineStr">
        <is>
          <t>uq_ds_default es la columna puerta 32: con dos series por defecto, «emitir una factura» no tendria respuesta hasta que alguien eligiera. El empate se rechaza al CONFIGURAR y no al emitir. Y tg_ds_forma_ins/upd exige que la serie tenga la forma que declara su tipo y que el tipo sea del pais de la sociedad: una sociedad peruana no emite comprobantes colombianos.</t>
        </is>
      </c>
    </row>
    <row r="19" ht="45.75" customHeight="1" s="36">
      <c r="A19" s="67" t="inlineStr">
        <is>
          <t>DEC-232</t>
        </is>
      </c>
      <c r="B19" s="68" t="inlineStr">
        <is>
          <t>Decidida</t>
        </is>
      </c>
      <c r="C19" s="68" t="n"/>
      <c r="D19" s="69" t="inlineStr">
        <is>
          <t>Las series NO se siembran: unica configuracion sin valor de partida</t>
        </is>
      </c>
      <c r="E19" s="69" t="inlineStr">
        <is>
          <t>9.12</t>
        </is>
      </c>
      <c r="F19" s="69" t="inlineStr">
        <is>
          <t>Excepcion razonada a DEC-190: una serie se registra ante la administracion tributaria y una inventada produciria comprobantes invalidos ante SUNAT --un valor de fabrica aqui no es comodidad, es un error fiscal--. No bloquea nada, que es lo que DEC-190 exige de verdad: sale en rojo en el panel con las palabras que explican por que no hay ninguna. Lo que si se siembra son los TIPOS, que son la regla del pais.</t>
        </is>
      </c>
    </row>
    <row r="20" ht="57" customHeight="1" s="36">
      <c r="A20" s="67" t="inlineStr">
        <is>
          <t>DEC-223</t>
        </is>
      </c>
      <c r="B20" s="68" t="inlineStr">
        <is>
          <t>Decidida</t>
        </is>
      </c>
      <c r="C20" s="68" t="n"/>
      <c r="D20" s="69" t="inlineStr">
        <is>
          <t>Las credenciales de las APIs viven en tres tablas propias, no en .env ni en legal_entities</t>
        </is>
      </c>
      <c r="E20" s="69" t="inlineStr">
        <is>
          <t>9.17d</t>
        </is>
      </c>
      <c r="F20" s="69" t="inlineStr">
        <is>
          <t>DEC-033 y docs/12 ya lo habian decidido y aqui se construye. Una sociedad es QUIEN factura; una conexion es CON QUE se conecta uno a un proveedor, y cambia mucho mas a menudo que una razon social. En .env seria peor: cambiar de entorno de pruebas a produccion exigiria entrar por SSH, que es DEC-190 roto por la puerta de atras.</t>
        </is>
      </c>
    </row>
    <row r="21" ht="34.5" customHeight="1" s="36">
      <c r="A21" s="67" t="inlineStr">
        <is>
          <t>DEC-224</t>
        </is>
      </c>
      <c r="B21" s="68" t="inlineStr">
        <is>
          <t>Decidida</t>
        </is>
      </c>
      <c r="C21" s="68" t="n"/>
      <c r="D21" s="69" t="inlineStr">
        <is>
          <t>Tres tablas de las cinco de docs/12: las asignaciones no se construyen todavia</t>
        </is>
      </c>
      <c r="E21" s="69" t="inlineStr">
        <is>
          <t>9.17d</t>
        </is>
      </c>
      <c r="F21" s="69" t="inlineStr">
        <is>
          <t>El eje (marca, sociedad, pais) con vigencia resuelve un problema que hoy no existe: una conexion sirve a una sociedad o a la plataforma entera, y eso cabe en un legal_entity_id nullable donde NULL significa «de la plataforma». Construir la tabla de tres ejes antes de tener el segundo caso es construir contra un supuesto. Queda escrito en la cabecera de la migracion para que no se tome por un olvido.</t>
        </is>
      </c>
    </row>
    <row r="22" ht="68.25" customHeight="1" s="36">
      <c r="A22" s="67" t="inlineStr">
        <is>
          <t>DEC-225</t>
        </is>
      </c>
      <c r="B22" s="68" t="inlineStr">
        <is>
          <t>Decidida</t>
        </is>
      </c>
      <c r="C22" s="68" t="n"/>
      <c r="D22" s="69" t="inlineStr">
        <is>
          <t>Rotar una credencial crea la version siguiente y cierra la anterior; no la pisa</t>
        </is>
      </c>
      <c r="E22" s="69" t="inlineStr">
        <is>
          <t>9.17d</t>
        </is>
      </c>
      <c r="F22" s="69" t="inlineStr">
        <is>
          <t>Se guardan el cifrado y los cuatro ultimos caracteres, nada mas. Pisar el valor deja sin respuesta «cual era la de antes» y «cuando cambio». Las dos escrituras van en la misma transaccion y en ese orden, porque uq_icred_vigente solo admite una viva por (conexion, clase). tg_icred_inmutable impide reescribir una credencial: lo unico que cambia en una fila existente es revocarla.</t>
        </is>
      </c>
    </row>
    <row r="23" ht="57" customHeight="1" s="36">
      <c r="A23" s="67" t="inlineStr">
        <is>
          <t>DEC-226</t>
        </is>
      </c>
      <c r="B23" s="68" t="inlineStr">
        <is>
          <t>Decidida</t>
        </is>
      </c>
      <c r="C23" s="68" t="n"/>
      <c r="D23" s="69" t="inlineStr">
        <is>
          <t>La bitacora anota QUE cambio, no que valor</t>
        </is>
      </c>
      <c r="E23" s="69" t="inlineStr">
        <is>
          <t>9.17d</t>
        </is>
      </c>
      <c r="F23" s="69" t="inlineStr">
        <is>
          <t>Ni el secreto ni los cuatro ultimos entran en audit_log (BR-SEC-001). Un registro de auditoria que guarda el secreto es un segundo sitio donde esta el secreto, y ademas uno que por diseno no se puede borrar. Por eso el servicio parte la lectura en dos: estado() es lo que ve una persona y secreto() lo llama el cliente de la API.</t>
        </is>
      </c>
    </row>
    <row r="24" ht="34.5" customHeight="1" s="36">
      <c r="A24" s="67" t="inlineStr">
        <is>
          <t>DEC-227</t>
        </is>
      </c>
      <c r="B24" s="68" t="inlineStr">
        <is>
          <t>Decidida</t>
        </is>
      </c>
      <c r="C24" s="68" t="n"/>
      <c r="D24" s="69" t="inlineStr">
        <is>
          <t>Una conexion ACTIVA exige https; un borrador no</t>
        </is>
      </c>
      <c r="E24" s="69" t="inlineStr">
        <is>
          <t>9.17d</t>
        </is>
      </c>
      <c r="F24" s="69" t="inlineStr">
        <is>
          <t>ck_iconn_url es la unica regla de la iteracion que no es de forma sino de fondo: una URL http a un servicio de facturacion manda las claves secundarias por la red en claro. Se puede escribir mientras la conexion es un borrador y no se puede activar. La regla vive en la base y no en el formulario, porque el formulario no es el unico que escribe.</t>
        </is>
      </c>
    </row>
    <row r="25" ht="45.75" customHeight="1" s="36">
      <c r="A25" s="67" t="inlineStr">
        <is>
          <t>DEC-220</t>
        </is>
      </c>
      <c r="B25" s="68" t="inlineStr">
        <is>
          <t>Decidida</t>
        </is>
      </c>
      <c r="C25" s="68" t="n"/>
      <c r="D25" s="69" t="inlineStr">
        <is>
          <t>Core levanta un evento; Creator escucha</t>
        </is>
      </c>
      <c r="E25" s="69" t="inlineStr">
        <is>
          <t>9.19b</t>
        </is>
      </c>
      <c r="F25" s="69" t="inlineStr">
        <is>
          <t>Avisar a los creadores exige leer creators, y Core no puede saber de esa tabla (fue T-74). Terminos::publicar() levanta TerminosPublicados en Shared y no sabe quien escucha; AvisarReaceptacion en Creator escucha y no sabe quien lo levanto. Consecuencia que no es teorica: si el envio falla, la publicacion ya esta hecha. Un SMTP caido no tumba unos terminos.</t>
        </is>
      </c>
    </row>
    <row r="26" ht="57" customHeight="1" s="36">
      <c r="A26" s="67" t="inlineStr">
        <is>
          <t>DEC-221</t>
        </is>
      </c>
      <c r="B26" s="68" t="inlineStr">
        <is>
          <t>Decidida</t>
        </is>
      </c>
      <c r="C26" s="68" t="n"/>
      <c r="D26" s="69" t="inlineStr">
        <is>
          <t>El aviso sale solo si el cambio es de fondo, y solo a su audiencia</t>
        </is>
      </c>
      <c r="E26" s="69" t="inlineStr">
        <is>
          <t>9.19b</t>
        </is>
      </c>
      <c r="F26" s="69" t="inlineStr">
        <is>
          <t>Un cambio menor no invalida la aceptacion anterior: avisar de el seria molestar a todo el mundo por una errata, y el aviso que llega por todo deja de leerse. El texto dice ademas QUE PASA DESPUES --«podras seguir viendo, pero no cambiar nada»-- porque «hay terminos nuevos» a secas se pospone y «el dia X dejas de poder trabajar» no.</t>
        </is>
      </c>
    </row>
    <row r="27" ht="68.25" customHeight="1" s="36">
      <c r="A27" s="67" t="inlineStr">
        <is>
          <t>DEC-222</t>
        </is>
      </c>
      <c r="B27" s="68" t="inlineStr">
        <is>
          <t>Decidida</t>
        </is>
      </c>
      <c r="C27" s="68" t="n"/>
      <c r="D27" s="69" t="inlineStr">
        <is>
          <t>Un correo que falla no deja sin avisar a los demas</t>
        </is>
      </c>
      <c r="E27" s="69" t="inlineStr">
        <is>
          <t>9.19b</t>
        </is>
      </c>
      <c r="F27" s="69" t="inlineStr">
        <is>
          <t>Cada envio va en su propio try: con doscientos creadores, que el numero 37 tenga el correo mal escrito no puede dejar sin aviso a los 163 siguientes. Lo que falla queda en el registro para que «a este no le llego» se pueda contestar.</t>
        </is>
      </c>
    </row>
    <row r="28" ht="57" customHeight="1" s="36">
      <c r="A28" s="67" t="inlineStr">
        <is>
          <t>DEC-216</t>
        </is>
      </c>
      <c r="B28" s="68" t="inlineStr">
        <is>
          <t>Decidida</t>
        </is>
      </c>
      <c r="C28" s="68" t="n"/>
      <c r="D28" s="69" t="inlineStr">
        <is>
          <t>Los plazos de reaceptacion van en la version, no en una tabla de ajustes</t>
        </is>
      </c>
      <c r="E28" s="69" t="inlineStr">
        <is>
          <t>9.19</t>
        </is>
      </c>
      <c r="F28" s="69" t="inlineStr">
        <is>
          <t>El plazo es parte de lo que se le comunico a la gente: «tienes 15 dias» dicho en enero no puede convertirse en «tenias 10» porque en marzo alguien cambio un ajuste global. Cada version lleva los suyos, se eligen al publicarla y despues son inmutables. Lo configurable es el valor por defecto, que es lo que el formulario trae puesto. readonly_days = 0 significa «sin periodo de solo lectura»; un numero muy grande, lo contrario.</t>
        </is>
      </c>
    </row>
    <row r="29" ht="68.25" customHeight="1" s="36">
      <c r="A29" s="67" t="inlineStr">
        <is>
          <t>DEC-217</t>
        </is>
      </c>
      <c r="B29" s="68" t="inlineStr">
        <is>
          <t>Decidida</t>
        </is>
      </c>
      <c r="C29" s="68" t="n"/>
      <c r="D29" s="69" t="inlineStr">
        <is>
          <t>El reloj no empieza al publicar: empieza cuando le toca a el</t>
        </is>
      </c>
      <c r="E29" s="69" t="inlineStr">
        <is>
          <t>9.19</t>
        </is>
      </c>
      <c r="F29" s="69" t="inlineStr">
        <is>
          <t>Un creador activado ayer no puede aparecer bloqueado por una version de hace tres meses. Su plazo cuenta desde el dia en que se activo, o desde la fecha de la version si es posterior. Sin esto, el primer creador que se diera de alta despues de un cambio de fondo entraria directamente al muro sin haber tenido un solo dia.</t>
        </is>
      </c>
    </row>
    <row r="30" ht="45.75" customHeight="1" s="36">
      <c r="A30" s="67" t="inlineStr">
        <is>
          <t>DEC-218</t>
        </is>
      </c>
      <c r="B30" s="68" t="inlineStr">
        <is>
          <t>Decidida</t>
        </is>
      </c>
      <c r="C30" s="68" t="n"/>
      <c r="D30" s="69" t="inlineStr">
        <is>
          <t>La pantalla del muro no lleva permiso, y eso es la decision</t>
        </is>
      </c>
      <c r="E30" s="69" t="inlineStr">
        <is>
          <t>9.19</t>
        </is>
      </c>
      <c r="F30" s="69" t="inlineStr">
        <is>
          <t>/mis-terminos es la unica salida de un creador bloqueado: un permiso dejaria sin salida justo a quien la necesita. La autorizacion es tener ficha de creador atada a la sesion. El trinquete de rutas exentas subio de 4 a 6 a mano y con motivo escrito, que es todo el sentido de ese trinquete. Lleva throttle:10,1.</t>
        </is>
      </c>
    </row>
    <row r="31" ht="79.5" customHeight="1" s="36">
      <c r="A31" s="67" t="inlineStr">
        <is>
          <t>DEC-219</t>
        </is>
      </c>
      <c r="B31" s="68" t="inlineStr">
        <is>
          <t>Decidida</t>
        </is>
      </c>
      <c r="C31" s="68" t="n"/>
      <c r="D31" s="69" t="inlineStr">
        <is>
          <t>Una franja fija, no un popup</t>
        </is>
      </c>
      <c r="E31" s="69" t="inlineStr">
        <is>
          <t>9.19</t>
        </is>
      </c>
      <c r="F31" s="69" t="inlineStr">
        <is>
          <t>El negocio pidio «popup como recordatorio al loguearse». Un popup se cierra sin leerlo y no vuelve hasta la siguiente sesion; la franja sigue ahi mientras siga sin aceptarse. El equipo interno no la ve nunca.</t>
        </is>
      </c>
    </row>
    <row r="32" ht="68.25" customHeight="1" s="36">
      <c r="A32" s="67" t="inlineStr">
        <is>
          <t>DEC-212</t>
        </is>
      </c>
      <c r="B32" s="68" t="inlineStr">
        <is>
          <t>Decidida</t>
        </is>
      </c>
      <c r="C32" s="68" t="n"/>
      <c r="D32" s="69" t="inlineStr">
        <is>
          <t>Una politica de precios con vigencia, no dos constantes</t>
        </is>
      </c>
      <c r="E32" s="69" t="inlineStr">
        <is>
          <t>9.18</t>
        </is>
      </c>
      <c r="F32" s="69" t="inlineStr">
        <is>
          <t>pricing_policies guarda la retencion (Q-13), el umbral de rentabilidad y sobre que se calcula. Los tres cambian: el 29,5 % por decreto y el 20 % con datos reales. Tiene historia --una sola vigente-- y una cerrada no se reescribe ni se borra: es la que explica como se pacto un compromiso de hace tres meses.</t>
        </is>
      </c>
    </row>
    <row r="33" ht="45.75" customHeight="1" s="36">
      <c r="A33" s="67" t="inlineStr">
        <is>
          <t>DEC-213</t>
        </is>
      </c>
      <c r="B33" s="68" t="inlineStr">
        <is>
          <t>Decidida</t>
        </is>
      </c>
      <c r="C33" s="68" t="n"/>
      <c r="D33" s="69" t="inlineStr">
        <is>
          <t>margin_basis es configuracion, no una pregunta</t>
        </is>
      </c>
      <c r="E33" s="69" t="inlineStr">
        <is>
          <t>9.18</t>
        </is>
      </c>
      <c r="F33" s="69" t="inlineStr">
        <is>
          <t>Con 100 de neto y 29,5 % el costo es 141,84; el ejemplo del negocio dio 170,21, que es 141,84 x 1,20 (recargo sobre el COSTO). Un 20 % de margen sobre el INGRESO habria dado 177,31. Lo iba a preguntar dos veces; DEC-190 dice que estas cosas se configuran, y preguntarlo habria sido quemar la respuesta en el codigo con la firma del negocio encima. Es una columna con dos valores, sembrada en cost, con la pantalla ensenando las dos cifras y una prueba de cada una.</t>
        </is>
      </c>
    </row>
    <row r="34" ht="45.75" customHeight="1" s="36">
      <c r="A34" s="67" t="inlineStr">
        <is>
          <t>DEC-214</t>
        </is>
      </c>
      <c r="B34" s="68" t="inlineStr">
        <is>
          <t>Decidida</t>
        </is>
      </c>
      <c r="C34" s="68" t="n"/>
      <c r="D34" s="69" t="inlineStr">
        <is>
          <t>Se pacta el costo o el neto, y el ingreso minimo se dice, no se impone</t>
        </is>
      </c>
      <c r="E34" s="69" t="inlineStr">
        <is>
          <t>9.18</t>
        </is>
      </c>
      <c r="F34" s="69" t="inlineStr">
        <is>
          <t>agreed_amount sigue siendo el costo: de esa columna cuelgan devengos, pagos y la rentabilidad de 9.10. Se anaden la base, el neto y la tasa. Con net se teclean 100 y se escriben 141,8440, y el motor rehace la resta: un neto que no cuadra con su bruto se descubriria en la conversacion con el creador que cobro de menos. El mensaje dice el ingreso minimo y no bloquea: se puede aceptar menos margen, pero sabiendolo y antes de invitar. Los tres numeros se congelan en la participacion.</t>
        </is>
      </c>
    </row>
    <row r="35" ht="68.25" customHeight="1" s="36">
      <c r="A35" s="67" t="inlineStr">
        <is>
          <t>DEC-215</t>
        </is>
      </c>
      <c r="B35" s="68" t="inlineStr">
        <is>
          <t>Decidida</t>
        </is>
      </c>
      <c r="C35" s="68" t="n"/>
      <c r="D35" s="69" t="inlineStr">
        <is>
          <t>La cuenta la hace el motor, no PHP</t>
        </is>
      </c>
      <c r="E35" s="69" t="inlineStr">
        <is>
          <t>9.18</t>
        </is>
      </c>
      <c r="F35" s="69" t="inlineStr">
        <is>
          <t>neto / (1 - tasa/100) con float da 141.84397163120568 y de ahi a un DECIMAL(18,4) hay un redondeo que puede caer del lado que el CHECK no admite. El contenedor no tiene bcmath, asi que la aritmetica exacta se hace en el motor con CAST a DECIMAL(28,12). Misma tecnica que 9.1 y 9.3.</t>
        </is>
      </c>
    </row>
    <row r="36" ht="57" customHeight="1" s="36">
      <c r="A36" s="67" t="inlineStr">
        <is>
          <t>DEC-209</t>
        </is>
      </c>
      <c r="B36" s="68" t="inlineStr">
        <is>
          <t>Decidida</t>
        </is>
      </c>
      <c r="C36" s="68" t="n"/>
      <c r="D36" s="69" t="inlineStr">
        <is>
          <t>La forma del codigo de localidad la declara el pais, no el codigo</t>
        </is>
      </c>
      <c r="E36" s="69" t="inlineStr">
        <is>
          <t>9.17c</t>
        </is>
      </c>
      <c r="F36" s="69" t="inlineStr">
        <is>
          <t>El comprobante peruano lleva el ubigeo del INEI (seis digitos) y el colombiano el codigo DANE (cinco). Una columna ubigeo CHAR(6) habria sido la regla de un pais escrita en el codigo de los seis y rechazaria un codigo colombiano correcto. countries declara como se llama, que forma tiene y si ese pais lo exige; el formulario pide «Ubigeo» a una peruana y «Codigo DANE» a una colombiana sin una linea de codigo por pais. La imponen dos disparadores cruzados que leen el patron de countries.</t>
        </is>
      </c>
    </row>
    <row r="37" ht="68.25" customHeight="1" s="36">
      <c r="A37" s="67" t="inlineStr">
        <is>
          <t>DEC-210</t>
        </is>
      </c>
      <c r="B37" s="68" t="inlineStr">
        <is>
          <t>Decidida</t>
        </is>
      </c>
      <c r="C37" s="68" t="n"/>
      <c r="D37" s="69" t="inlineStr">
        <is>
          <t>El codigo de establecimiento nace en «0000» y no admite nulo</t>
        </is>
      </c>
      <c r="E37" s="69" t="inlineStr">
        <is>
          <t>9.17c</t>
        </is>
      </c>
      <c r="F37" s="69" t="inlineStr">
        <is>
          <t>Un comprobante SIEMPRE lleva uno; dejarlo nulo obligaria a decidirlo al emitir, que es tarde. «0000» es el domicilio fiscal en SUNAT. El formulario lo puede dejar en blanco --al crear y al editar-- y entonces vale 0000: sin esa normalizacion, vaciar el campo metia una cadena vacia que ck_le_establecimiento rechaza con un 45000 sin explicar nada.</t>
        </is>
      </c>
    </row>
    <row r="38" ht="45.75" customHeight="1" s="36">
      <c r="A38" s="67" t="inlineStr">
        <is>
          <t>DEC-211</t>
        </is>
      </c>
      <c r="B38" s="68" t="inlineStr">
        <is>
          <t>Decidida</t>
        </is>
      </c>
      <c r="C38" s="68" t="n"/>
      <c r="D38" s="69" t="inlineStr">
        <is>
          <t>Que falte el ubigeo no bloquea: es un aviso rojo</t>
        </is>
      </c>
      <c r="E38" s="69" t="inlineStr">
        <is>
          <t>9.17c</t>
        </is>
      </c>
      <c r="F38" s="69" t="inlineStr">
        <is>
          <t>requires_tax_location no impide guardar una sociedad a medias; hace que el panel de 9.17b lo enseñe en rojo con el nombre que ese pais le da. Y sale a la luz algo que no decia nadie: el sembrador escribe address_line1 = «Por completar» porque la columna es NOT NULL, la sociedad parecia completa, y ese texto habria salido impreso en un comprobante.</t>
        </is>
      </c>
    </row>
    <row r="39" ht="90.75" customHeight="1" s="36">
      <c r="A39" s="67" t="inlineStr">
        <is>
          <t>DEC-205</t>
        </is>
      </c>
      <c r="B39" s="68" t="inlineStr">
        <is>
          <t>Decidida</t>
        </is>
      </c>
      <c r="C39" s="68" t="n"/>
      <c r="D39" s="69" t="inlineStr">
        <is>
          <t>Un registro de preparacion, y cada modulo declara lo suyo</t>
        </is>
      </c>
      <c r="E39" s="69" t="inlineStr">
        <is>
          <t>9.17b</t>
        </is>
      </c>
      <c r="F39" s="69" t="inlineStr">
        <is>
          <t>9.16 y 9.17 dejaron cada una su lista de avisos y cada una solo se ve entrando en su pantalla. Preparacion las junta, y cada modulo declara las comprobaciones de su area en su ServiceProvider: un revisor central pondria a Shared a saber de cinco modulos sin que deptrac lo vea, porque son consultas a tablas y no clases importadas. Hay una prueba que se rompe cuando alguien construye una pantalla de configuracion nueva y no la enchufa.</t>
        </is>
      </c>
    </row>
    <row r="40" ht="45.75" customHeight="1" s="36">
      <c r="A40" s="67" t="inlineStr">
        <is>
          <t>DEC-206</t>
        </is>
      </c>
      <c r="B40" s="68" t="inlineStr">
        <is>
          <t>Decidida</t>
        </is>
      </c>
      <c r="C40" s="68" t="n"/>
      <c r="D40" s="69" t="inlineStr">
        <is>
          <t>Si no puedes arreglarlo, no lo ves</t>
        </is>
      </c>
      <c r="E40" s="69" t="inlineStr">
        <is>
          <t>9.17b</t>
        </is>
      </c>
      <c r="F40" s="69" t="inlineStr">
        <is>
          <t>Cada area declara el permiso con el que SE ARREGLA, no el que hace falta para abrir el panel, y la revision filtra por el. BR-SEC-001 sigue en pie aunque la pantalla reuna en un sitio lo que estaba repartido en cinco, y ningun aviso lleva a un 403. Por eso config.view se le puede dar a finanzas sin miedo: ve el area de tipos de cambio y nada mas.</t>
        </is>
      </c>
    </row>
    <row r="41" ht="57" customHeight="1" s="36">
      <c r="A41" s="67" t="inlineStr">
        <is>
          <t>DEC-207</t>
        </is>
      </c>
      <c r="B41" s="68" t="inlineStr">
        <is>
          <t>Decidida</t>
        </is>
      </c>
      <c r="C41" s="68" t="n"/>
      <c r="D41" s="69" t="inlineStr">
        <is>
          <t>Una comprobacion que revienta no tumba el panel</t>
        </is>
      </c>
      <c r="E41" s="69" t="inlineStr">
        <is>
          <t>9.17b</t>
        </is>
      </c>
      <c r="F41" s="69" t="inlineStr">
        <is>
          <t>Un revisor que lanza una excepcion se convierte en un aviso ambar que lo dice, y las demas areas se siguen viendo. Un panel de «que me falta» que responde 500 porque a un area le pasa algo deja de contestar justo el dia en que hay algo que contestar.</t>
        </is>
      </c>
    </row>
    <row r="42" ht="45.75" customHeight="1" s="36">
      <c r="A42" s="67" t="inlineStr">
        <is>
          <t>DEC-208</t>
        </is>
      </c>
      <c r="B42" s="68" t="inlineStr">
        <is>
          <t>Decidida</t>
        </is>
      </c>
      <c r="C42" s="68" t="n"/>
      <c r="D42" s="69" t="inlineStr">
        <is>
          <t>El correo en log es ROJO, y va el primero del panel</t>
        </is>
      </c>
      <c r="E42" s="69" t="inlineStr">
        <is>
          <t>9.17b</t>
        </is>
      </c>
      <c r="F42" s="69" t="inlineStr">
        <is>
          <t>mail.default vale log mientras nadie ponga una cuenta SMTP (Q-20), y con ese valor el correo no sale de la maquina: se escribe en storage/logs. La aplicacion no falla, la bitacora dice enviado y el creador no recibe su enlace de alta. Es el modo de fallo mas caro del sistema porque no se nota desde dentro, y hasta hoy no lo decia ninguna pantalla.</t>
        </is>
      </c>
    </row>
    <row r="43" ht="68.25" customHeight="1" s="36">
      <c r="A43" s="67" t="inlineStr">
        <is>
          <t>DEC-199</t>
        </is>
      </c>
      <c r="B43" s="68" t="inlineStr">
        <is>
          <t>Decidida</t>
        </is>
      </c>
      <c r="C43" s="68" t="n"/>
      <c r="D43" s="69" t="inlineStr">
        <is>
          <t>La marca es una fila, y hay UNA sola por defecto</t>
        </is>
      </c>
      <c r="E43" s="69" t="inlineStr">
        <is>
          <t>9.17</t>
        </is>
      </c>
      <c r="F43" s="69" t="inlineStr">
        <is>
          <t>«LATAM Social» estaba escrito en tres plantillas --title, barra lateral y pantalla de acceso--, el favicon era un archivo del repositorio y el pie legal con la razon social y el RUC estaba a mano al pie del formulario de entrada. platform_brands guardaba todo eso desde 2.10 y nadie la leyo nunca. default_gate es la 28.a columna puerta y uq_pb_default la hace unica: dos marcas por defecto es media aplicacion ensenando un nombre y la otra mitad otro sin que nada falle.</t>
        </is>
      </c>
    </row>
    <row r="44" ht="79.5" customHeight="1" s="36">
      <c r="A44" s="67" t="inlineStr">
        <is>
          <t>DEC-200</t>
        </is>
      </c>
      <c r="B44" s="68" t="inlineStr">
        <is>
          <t>Decidida</t>
        </is>
      </c>
      <c r="C44" s="68" t="n"/>
      <c r="D44" s="69" t="inlineStr">
        <is>
          <t>Una configuracion que falta NO bloquea: valor de partida y aviso con prioridad</t>
        </is>
      </c>
      <c r="E44" s="69" t="inlineStr">
        <is>
          <t>9.17</t>
        </is>
      </c>
      <c r="F44" s="69" t="inlineStr">
        <is>
          <t>DEC-190 llevado al codigo. Sin tabla, sin fila o con un campo vacio se cae al valor de partida y aparece un badge: rojo lo que un tercero va a ver mal (sin logotipo, sin correo de soporte), ambar lo que conviene (sin favicon, sin pie legal, sin web), verde cuando no falta nada. El sistema arranca con dos rojos y funciona perfectamente con los dos puestos.</t>
        </is>
      </c>
    </row>
    <row r="45" ht="124.5" customHeight="1" s="36">
      <c r="A45" s="67" t="inlineStr">
        <is>
          <t>DEC-201</t>
        </is>
      </c>
      <c r="B45" s="68" t="inlineStr">
        <is>
          <t>Decidida</t>
        </is>
      </c>
      <c r="C45" s="68" t="n"/>
      <c r="D45" s="69" t="inlineStr">
        <is>
          <t>El logotipo se sirve por una puerta publica propia, sin identificador</t>
        </is>
      </c>
      <c r="E45" s="69" t="inlineStr">
        <is>
          <t>9.17</t>
        </is>
      </c>
      <c r="F45" s="69" t="inlineStr">
        <is>
          <t>La pantalla de acceso la ve quien no ha entrado, asi que el permiso file.view de 9.15 dejaria la marca fuera de la unica pantalla que ve todo el mundo. Lo que hace seguras a /marca/logo y /marca/favicon no es un permiso: es que NO aceptan identificador. Estan en RUTAS-ABIERTAS con su motivo y MuroTest las conoce.</t>
        </is>
      </c>
    </row>
    <row r="46" ht="90.75" customHeight="1" s="36">
      <c r="A46" s="67" t="inlineStr">
        <is>
          <t>DEC-202</t>
        </is>
      </c>
      <c r="B46" s="68" t="inlineStr">
        <is>
          <t>Decidida</t>
        </is>
      </c>
      <c r="C46" s="68" t="n"/>
      <c r="D46" s="69" t="inlineStr">
        <is>
          <t>El codigo de la marca no se cambia; el nombre visible si</t>
        </is>
      </c>
      <c r="E46" s="69" t="inlineStr">
        <is>
          <t>9.17</t>
        </is>
      </c>
      <c r="F46" s="69" t="inlineStr">
        <is>
          <t>tg_pb_code lo impide en el motor. El code es la llave con la que el sembrador encuentra la marca: si cambia, el siguiente db:seed crea otra, el sistema amanece con dos y las pantallas siguen ensenando la vieja mientras alguien edita la nueva.</t>
        </is>
      </c>
    </row>
    <row r="47" ht="68.25" customHeight="1" s="36">
      <c r="A47" s="67" t="inlineStr">
        <is>
          <t>DEC-203</t>
        </is>
      </c>
      <c r="B47" s="68" t="inlineStr">
        <is>
          <t>Decidida</t>
        </is>
      </c>
      <c r="C47" s="68" t="n"/>
      <c r="D47" s="69" t="inlineStr">
        <is>
          <t>Los colores y la tipografia se desinfectan ademas del CHECK</t>
        </is>
      </c>
      <c r="E47" s="69" t="inlineStr">
        <is>
          <t>9.17</t>
        </is>
      </c>
      <c r="F47" s="69" t="inlineStr">
        <is>
          <t>El color acaba dentro de una regla CSS y la tipografia dentro de una URL y de una regla CSS, en todas las pantallas a la vez. Un nombre con comillas y llaves cierra la regla y escribe estilo ajeno en toda la aplicacion. Si el valor entra por una via que no pasa por el CHECK --carga masiva, restauracion de copia--, la segunda cerradura es lo unico que queda.</t>
        </is>
      </c>
    </row>
    <row r="48" ht="45.75" customHeight="1" s="36">
      <c r="A48" s="67" t="inlineStr">
        <is>
          <t>DEC-204</t>
        </is>
      </c>
      <c r="B48" s="68" t="inlineStr">
        <is>
          <t>Decidida</t>
        </is>
      </c>
      <c r="C48" s="68" t="n"/>
      <c r="D48" s="69" t="inlineStr">
        <is>
          <t>brand.manage es un permiso propio, y no legal_entity.manage</t>
        </is>
      </c>
      <c r="E48" s="69" t="inlineStr">
        <is>
          <t>9.17</t>
        </is>
      </c>
      <c r="F48" s="69" t="inlineStr">
        <is>
          <t>Quien da de alta sociedades del grupo no tiene por que poder cambiar lo que ve todo el mundo en todas las pantallas, incluida la de acceso. Hoy los dos los tiene solo admin; el dia que legal_entity.manage se le de a alguien de operaciones, esa persona no podra cambiar la marca. Hay una prueba que lo fija.</t>
        </is>
      </c>
    </row>
    <row r="49" ht="57" customHeight="1" s="36">
      <c r="A49" s="67" t="inlineStr">
        <is>
          <t>DEC-198</t>
        </is>
      </c>
      <c r="B49" s="68" t="inlineStr">
        <is>
          <t>Decidida</t>
        </is>
      </c>
      <c r="C49" s="68" t="n"/>
      <c r="D49" s="69" t="inlineStr">
        <is>
          <t>El permiso se mira en CADA peticion: no hay URL firmada de archivo.</t>
        </is>
      </c>
      <c r="E49" s="69" t="inlineStr">
        <is>
          <t>9.15</t>
        </is>
      </c>
      <c r="F49" s="69" t="inlineStr">
        <is>
          <t>Una URL firmada sigue funcionando cuando se reenvia y cuando a esa persona ya se le quito el acceso, y lo que sale por aqui son documentos de identidad y comprobantes bancarios. Con ruta propia, quitar un permiso surte efecto en la siguiente peticion y no queda ningun enlace circulando. El archivo se busca por uuid y no por id --un id correlativo invita a probar el siguiente-- y la respuesta lleva no-store (una identidad en la cache de un equipo compartido sobrevive al cierre de sesion), nosniff y una CSP que impide que un HTML o un SVG subido como «evidencia» se ejecute. El creador ve lo suyo, incluida su identidad: es informacion suya y le permite comprobar que archivamos el correcto. Rastro en bitacora solo para los sensibles --identidad, terminos y comprobante bancario--: anotar cada captura convertiria la bitacora en ruido, y una bitacora que nadie lee no protege nada</t>
        </is>
      </c>
    </row>
    <row r="50" ht="79.5" customHeight="1" s="36">
      <c r="A50" s="67" t="inlineStr">
        <is>
          <t>DEC-197</t>
        </is>
      </c>
      <c r="B50" s="68" t="inlineStr">
        <is>
          <t>Decidida</t>
        </is>
      </c>
      <c r="C50" s="68" t="n"/>
      <c r="D50" s="69" t="inlineStr">
        <is>
          <t>Cada modulo declara quien puede ver SUS archivos; no hay un switch central.</t>
        </is>
      </c>
      <c r="E50" s="69" t="inlineStr">
        <is>
          <t>9.15</t>
        </is>
      </c>
      <c r="F50" s="69" t="inlineStr">
        <is>
          <t>La regla de cada archivo depende de la tabla que lo apunta --identidad de creators, captura de publication_evidence, comprobante de payouts-- y un decisor central que las consultara todas pondria a Shared o a Core a saber de payouts. deptrac no lo veria: son consultas a tablas y no clases importadas, o sea una frontera rota en silencio, que es la peor clase. Cada modulo registra su regla en su ServiceProvider, igual que registra sus escuchas. Y se niega por omision: un proposito sin regla no se abre ni para el administrador, asi que un archivo nuevo cuyo autor olvido declarar quien puede verlo se queda cerrado y no abierto a todos</t>
        </is>
      </c>
    </row>
    <row r="51" ht="113.25" customHeight="1" s="36">
      <c r="A51" s="67" t="inlineStr">
        <is>
          <t>DEC-196</t>
        </is>
      </c>
      <c r="B51" s="68" t="inlineStr">
        <is>
          <t>Decidida</t>
        </is>
      </c>
      <c r="C51" s="68" t="n"/>
      <c r="D51" s="69" t="inlineStr">
        <is>
          <t>La Academia del creador se construye, y cada modulo se configura desde el admin.</t>
        </is>
      </c>
      <c r="E51" s="69" t="inlineStr">
        <is>
          <t>14.8</t>
        </is>
      </c>
      <c r="F51" s="69" t="inlineStr">
        <is>
          <t>Es G-08 del addendum de gamificacion y la de mas retorno de las once: modulos cortos --leer un brief sin gastar rondas, iluminacion y audio con un movil, como se rotula el contenido comercial, que derechos esta cediendo, como subir su evidencia-- con evaluacion al final e insignia de creador certificado. Ataca tres dolores ya medidos: cada ronda evitada es tiempo del equipo de revision, cada evidencia subida sola es el proceso mas manual que se deja de perseguir, y «creadores certificados» es un argumento de venta ante la marca. El software es la parte barata: modulos, orden, formato, evaluacion, intentos, XP e insignia salen del admin (DEC-190), y al completar uno se levanta TrainingModuleCompleted, previsto en el modelo desde la Fase 2. Lo caro es el CONTENIDO --guiones, video, mantenerlo cuando cambie una norma o una red-- y eso no lo hace el sistema. Se puede arrancar con modulos de solo texto, que cuestan casi nada y ya bajan rondas. Cierra Q-27</t>
        </is>
      </c>
    </row>
    <row r="52" ht="102" customHeight="1" s="36">
      <c r="A52" s="67" t="inlineStr">
        <is>
          <t>DEC-195</t>
        </is>
      </c>
      <c r="B52" s="68" t="inlineStr">
        <is>
          <t>Decidida</t>
        </is>
      </c>
      <c r="C52" s="68" t="n"/>
      <c r="D52" s="69" t="inlineStr">
        <is>
          <t>El lado del tipo de cambio se configura POR TIPO DE TRANSACCION.</t>
        </is>
      </c>
      <c r="E52" s="69" t="inlineStr">
        <is>
          <t>9.16</t>
        </is>
      </c>
      <c r="F52" s="69" t="inlineStr">
        <is>
          <t>No se fija uno en el codigo: lo que se le paga a un creador, lo que se le cobra a un cliente y un gasto operativo no tienen por que convertirse con el mismo lado, y esa eleccion es contable. El admin declara, para cada tipo de transaccion, que lado se aplica (compra, venta o media) y con que fuente. Cierra Q-63, que era la que impedia dar un porcentaje de margen cuando hay dos monedas (DEC-185)</t>
        </is>
      </c>
    </row>
    <row r="53" ht="79.5" customHeight="1" s="36">
      <c r="A53" s="67" t="inlineStr">
        <is>
          <t>DEC-194</t>
        </is>
      </c>
      <c r="B53" s="68" t="inlineStr">
        <is>
          <t>Decidida</t>
        </is>
      </c>
      <c r="C53" s="68" t="n"/>
      <c r="D53" s="69" t="inlineStr">
        <is>
          <t>La gamificacion premia con reconocimiento y con un catalogo de premios canjeables por XP.</t>
        </is>
      </c>
      <c r="E53" s="69" t="inlineStr">
        <is>
          <t>9.16</t>
        </is>
      </c>
      <c r="F53" s="69" t="inlineStr">
        <is>
          <t>Nada de dinero. Los premios --viajes, objetos-- viven en una tabla configurable desde el admin con su coste en XP y su disponibilidad, y el creador los canjea. El hito que consolida un referido es la primera campana completada (Q-25). Cierra Q-23, Q-24 y Q-26</t>
        </is>
      </c>
    </row>
    <row r="54" ht="45.75" customHeight="1" s="36">
      <c r="A54" s="67" t="inlineStr">
        <is>
          <t>DEC-193</t>
        </is>
      </c>
      <c r="B54" s="68" t="inlineStr">
        <is>
          <t>Decidida</t>
        </is>
      </c>
      <c r="C54" s="68" t="n"/>
      <c r="D54" s="69" t="inlineStr">
        <is>
          <t>Publicar terminos nuevos no expulsa a nadie de golpe: hay plazo, aviso y aterrizaje suave.</t>
        </is>
      </c>
      <c r="E54" s="69" t="inlineStr">
        <is>
          <t>9.16</t>
        </is>
      </c>
      <c r="F54" s="69" t="inlineStr">
        <is>
          <t>Correo con enlace de aceptacion, 15 dias de plazo, aviso en la bandeja interna de la plataforma y recordatorio al entrar. Cumplido el plazo sin aceptar, la sesion cae en una pantalla que exige aceptar para continuar; si no acepta, solo lectura durante 30 dias. Los dos plazos son configurables (DEC-190). Es la respuesta a Q-46, y encaja con el «cambio menor» de 9.16: una errata no dispara nada de esto</t>
        </is>
      </c>
    </row>
    <row r="55" ht="79.5" customHeight="1" s="36">
      <c r="A55" s="67" t="inlineStr">
        <is>
          <t>DEC-192</t>
        </is>
      </c>
      <c r="B55" s="68" t="inlineStr">
        <is>
          <t>Decidida</t>
        </is>
      </c>
      <c r="C55" s="68" t="n"/>
      <c r="D55" s="69" t="inlineStr">
        <is>
          <t>Facturacion electronica DIRECTA con SUNAT, no por proveedor.</t>
        </is>
      </c>
      <c r="E55" s="69" t="inlineStr">
        <is>
          <t>9.16</t>
        </is>
      </c>
      <c r="F55" s="69" t="inlineStr">
        <is>
          <t>Configurable entero desde el admin: URL, certificado, usuario y clave secundarios, y correlativos independientes de factura, boleta y notas de credito de cada una. Con monitor de documentos timbrados: estado de cada uno, reintento manual, reintento automatico por job con frecuencia y numero de reintentos configurables, descarga de CDR, XML y PDF --el PDF con plantilla configurable-- y envio al cliente por correo con cuerpo configurable y variables arrastrables. Cierra Q-03 y de paso Q-21, que preguntaba por el contrato con un proveedor que ya no hay</t>
        </is>
      </c>
    </row>
    <row r="56" ht="79.5" customHeight="1" s="36">
      <c r="A56" s="67" t="inlineStr">
        <is>
          <t>DEC-191</t>
        </is>
      </c>
      <c r="B56" s="68" t="inlineStr">
        <is>
          <t>Decidida</t>
        </is>
      </c>
      <c r="C56" s="68" t="n"/>
      <c r="D56" s="69" t="inlineStr">
        <is>
          <t>La retencion se calcula HACIA ATRAS desde el neto pactado, y se compara con un umbral de rentabilidad.</t>
        </is>
      </c>
      <c r="E56" s="69" t="inlineStr">
        <is>
          <t>9.16</t>
        </is>
      </c>
      <c r="F56" s="69" t="inlineStr">
        <is>
          <t>Con el creador se pacta lo que VA A RECIBIR --«te pago 100»--; el sistema calcula el bruto que hay que provisionar con la tasa configurada (29,5% por defecto, Q-13/Q-40): bruto = neto / (1 - tasa), o sea 141,84 para 100 netos, de los que 41,84 son retencion. Tres campos y no uno: neto pactado, tasa aplicada (por defecto la del admin, editable en el trato) e importe bruto. Encima va un umbral de rentabilidad minima configurable: con el bruto como costo, la pantalla dice cual es el ingreso mas bajo que hace aceptable esa participacion, y avisa antes de cerrar el trato --no despues--. La tasa, el umbral y la base sobre la que se mide el umbral (sobre costo o sobre ingreso: no dan el mismo numero) salen del admin</t>
        </is>
      </c>
    </row>
    <row r="57" ht="68.25" customHeight="1" s="36">
      <c r="A57" s="67" t="inlineStr">
        <is>
          <t>DEC-190</t>
        </is>
      </c>
      <c r="B57" s="68" t="inlineStr">
        <is>
          <t>Decidida</t>
        </is>
      </c>
      <c r="C57" s="68" t="inlineStr">
        <is>
          <t>Critica</t>
        </is>
      </c>
      <c r="D57" s="69" t="inlineStr">
        <is>
          <t>PRINCIPIO RECTOR: la plataforma es WHITE LABEL y todo se configura desde el admin.</t>
        </is>
      </c>
      <c r="E57" s="69" t="inlineStr">
        <is>
          <t>9.16</t>
        </is>
      </c>
      <c r="F57" s="69" t="inlineStr">
        <is>
          <t>Nada de reglas de negocio quemadas en el codigo: ni la razon social, ni el RUC, ni el representante legal, ni la direccion, ni el ubigeo, ni las tasas, ni los plazos, ni los correlativos, ni las credenciales de ninguna API. Lo que el codigo aporta es la REGLA; el VALOR sale de la configuracion. Y una configuracion sin valor no bloquea: se siembra con un valor de partida y se avisa con su prioridad --rojo si es delicado y sigue de fabrica, ambar si conviene revisarlo--. Esto corrige el criterio con el que se habian tomado varias decisiones anteriores --3.5 dejaba el sistema sin arrancar hasta que alguien corriera un comando, y varias preguntas de negocio se plantearon como «elige una y la quemo» cuando la respuesta correcta era «las dos, y que se elija en el admin»--. Toda decision anterior que fije un valor en el codigo queda sujeta a revision bajo este principio (T-69)</t>
        </is>
      </c>
    </row>
    <row r="58" ht="34.5" customHeight="1" s="36">
      <c r="A58" s="67" t="inlineStr">
        <is>
          <t>DEC-189</t>
        </is>
      </c>
      <c r="B58" s="68" t="inlineStr">
        <is>
          <t>Decidida</t>
        </is>
      </c>
      <c r="C58" s="68" t="n"/>
      <c r="D58" s="69" t="inlineStr">
        <is>
          <t>Las 23 rutas sin permiso se escriben, con su motivo, en RUTAS-ABIERTAS.</t>
        </is>
      </c>
      <c r="E58" s="69" t="inlineStr">
        <is>
          <t>9.14b</t>
        </is>
      </c>
      <c r="F58" s="69" t="inlineStr">
        <is>
          <t>Hasta hoy nada distinguia «es publica a proposito» --entrar, recuperar la contrasena, los enlaces firmados de 7.6 y 8.5-- de «se le olvido el middleware a alguien». verificar-muro.py comprueba que tres sitios digan lo mismo: la lista, routes/web.php y la constante de MuroTest; no se pueden fundir porque una la lee Python sin Laravel y otra PHPUnit, y tres copias es como se pierde una (SUITES, 3.12). Al CI: una ruta nueva sin permiso que no este escrita lo pone en rojo. De paso se cerraron dos puertas que no eran nuestras: storage.local y storage.local.upload, que registra el framework con serve =&gt; true sobre el disco privado. No eran una fuga --exigen URL firmada-- pero la aplicacion no genera ninguna, asi que no servian para nada; y ninguna lectura del codigo las habria encontrado, porque no estan en ningun archivo de rutas</t>
        </is>
      </c>
    </row>
    <row r="59" ht="79.5" customHeight="1" s="36">
      <c r="A59" s="67" t="inlineStr">
        <is>
          <t>DEC-188</t>
        </is>
      </c>
      <c r="B59" s="68" t="inlineStr">
        <is>
          <t>Decidida</t>
        </is>
      </c>
      <c r="C59" s="68" t="n"/>
      <c r="D59" s="69" t="inlineStr">
        <is>
          <t>El muro se prueba recorriendo TODAS las rutas, no las que uno recuerda.</t>
        </is>
      </c>
      <c r="E59" s="69" t="inlineStr">
        <is>
          <t>9.14b</t>
        </is>
      </c>
      <c r="F59" s="69" t="inlineStr">
        <is>
          <t>MuroTest pide las 145 rutas con nombre como creador, como usuario de cliente y como autenticado sin rol, y exige que ninguna se abra --371 aserciones, y el muro aguanta--. Una pantalla nueva entra sola en la prueba. Las afirmaciones dirigidas que ya habia (DEC-172, DEC-179, DEC-181) comprueban lo que alguien se acordo de mirar; el fallo que de verdad paso --5.9, la portada enseñando los totales internos a cualquier autenticado-- no lo habria cazado ninguna. Lo permitido se escribe en positivo: una lista de lo permitido crece solo cuando alguien la toca a proposito. Se admite un 404 porque SubstituteBindings corre antes del middleware --con un id inventado la ruta contesta antes de llegar al permiso-- y para que no sea el escondite de la prueba se exige que mas de 80 rutas contesten 403 de verdad</t>
        </is>
      </c>
    </row>
    <row r="60" ht="102" customHeight="1" s="36">
      <c r="A60" s="67" t="inlineStr">
        <is>
          <t>DEC-187</t>
        </is>
      </c>
      <c r="B60" s="68" t="inlineStr">
        <is>
          <t>Decidida</t>
        </is>
      </c>
      <c r="C60" s="68" t="n"/>
      <c r="D60" s="69" t="inlineStr">
        <is>
          <t>Una suite de QA se construye SU caso y no reusa el de nadie.</t>
        </is>
      </c>
      <c r="E60" s="69" t="inlineStr">
        <is>
          <t>9.14</t>
        </is>
      </c>
      <c r="F60" s="69" t="inlineStr">
        <is>
          <t>La primera version de 9.14 reusaba lo que dejaban las suites anteriores, como hace 9.6, y se puso amarilla dos veces por motivos opuestos: corriendo sola porque no habia asientos, y corriendo la bateria entera porque para cuando llega el unico devengo pagable ya esta liquidado por 9.6 y las dos participaciones de la semilla estan ocupadas. Ahora crea su campana, su participacion y su devengo. Una suite de QA que depende del orden mide el orden, no la regla</t>
        </is>
      </c>
    </row>
    <row r="61" ht="90.75" customHeight="1" s="36">
      <c r="A61" s="67" t="inlineStr">
        <is>
          <t>DEC-186</t>
        </is>
      </c>
      <c r="B61" s="68" t="inlineStr">
        <is>
          <t>Decidida</t>
        </is>
      </c>
      <c r="C61" s="68" t="n"/>
      <c r="D61" s="69" t="inlineStr">
        <is>
          <t>Nace verificar-cobertura-sql.py: que regla de la base no ha contestado NUNCA a nadie.</t>
        </is>
      </c>
      <c r="E61" s="69" t="inlineStr">
        <is>
          <t>9.14</t>
        </is>
      </c>
      <c r="F61" s="69" t="inlineStr">
        <is>
          <t>Los verificadores que ya habia comprueban que la regla EXISTA y que sea la misma en los dos motores; ninguno comprobaba lo unico que importa el dia que falle: que alguien se lo haya preguntado. Medido: de las 317 reglas del esquema, 167 no aparecian en ninguna suite ni en ninguna prueba --el 53%--. No significa que esten mal: significa que nadie lo sabe. Una regla que nunca se ha probado no es una regla, es una intencion escrita en DDL. Va a correr-todo.sh y al CI con trinquete (MUDAS-BASE), asi que una regla nueva sin asercion pone el CI en rojo. La pregunta salio de 9.10a, donde campaign_costs llevaba dos semanas con cinco restricciones verdes en todos los verificadores y CERO filas</t>
        </is>
      </c>
    </row>
    <row r="62" ht="57" customHeight="1" s="36">
      <c r="A62" s="67" t="inlineStr">
        <is>
          <t>DEC-185</t>
        </is>
      </c>
      <c r="B62" s="68" t="inlineStr">
        <is>
          <t>Decidida</t>
        </is>
      </c>
      <c r="C62" s="68" t="n"/>
      <c r="D62" s="69" t="inlineStr">
        <is>
          <t>El porcentaje de margen solo se da cuando todo esta en una moneda, y si no, se dice por que.</t>
        </is>
      </c>
      <c r="E62" s="69" t="inlineStr">
        <is>
          <t>9.10</t>
        </is>
      </c>
      <c r="F62" s="69" t="inlineStr">
        <is>
          <t>Convertir exige elegir compra, venta o media (Q-63) y cada eleccion da un margen distinto para los mismos hechos; el dia que se elija cambian ademas todos los margenes historicos a la vez. Cuando falta, la pantalla escribe el motivo con palabras --«esta campana tiene importes en PEN y USD…»-- y no deja un hueco: quien mira una pantalla donde falta un numero necesita saber si falta porque no lo hay o porque no se puede calcular, y son dos conversaciones distintas. Tampoco hay total por sociedad: el ingreso de hoy es el DECLARADO y no el facturado (9.9), y sumar precios declarados por sociedad se parece a un estado de resultados sin serlo</t>
        </is>
      </c>
    </row>
    <row r="63" ht="90.75" customHeight="1" s="36">
      <c r="A63" s="67" t="inlineStr">
        <is>
          <t>DEC-184</t>
        </is>
      </c>
      <c r="B63" s="68" t="inlineStr">
        <is>
          <t>Decidida</t>
        </is>
      </c>
      <c r="C63" s="68" t="n"/>
      <c r="D63" s="69" t="inlineStr">
        <is>
          <t>Los canjes salen en la lista, marcados, y fuera de todo total.</t>
        </is>
      </c>
      <c r="E63" s="69" t="inlineStr">
        <is>
          <t>9.10</t>
        </is>
      </c>
      <c r="F63" s="69" t="inlineStr">
        <is>
          <t>Su ingreso es cero POR DECISION (7.2), asi que su margen es siempre negativo: el producto y el envio se gastaron igual. Promediarlos hace que la cartera entera parezca peor por un motivo que fue deliberado. Pero se enseñan con su costo, porque un canje tambien cuesta dinero y ese era justo el numero que nadie tenia. Queda fuera del total una segunda clase de campana: la que tiene gastos en OTRA moneda, cuyo margen en la moneda del grupo esta incompleto --y sumar un numero incompleto lo vuelve invisible--. Y la cabecera dice cuantas quedaron fuera y por que: un total que excluye filas sin contarlas engaña por omision</t>
        </is>
      </c>
    </row>
    <row r="64" ht="102" customHeight="1" s="36">
      <c r="A64" s="67" t="inlineStr">
        <is>
          <t>DEC-183</t>
        </is>
      </c>
      <c r="B64" s="68" t="inlineStr">
        <is>
          <t>Decidida</t>
        </is>
      </c>
      <c r="C64" s="68" t="n"/>
      <c r="D64" s="69" t="inlineStr">
        <is>
          <t>Compromiso::margen() se BORRA, no se arregla.</t>
        </is>
      </c>
      <c r="E64" s="69" t="inlineStr">
        <is>
          <t>9.10</t>
        </is>
      </c>
      <c r="F64" s="69" t="inlineStr">
        <is>
          <t>Vivia en Campaign desde 7.7 y devolvia revenue_amount menos lo comprometido con creadores: no restaba producto, envios ni produccion, y desde 9.10a esos gastos ya se anotan, asi que el numero habria ido empeorando con cada gasto cargado sin que la pantalla se enterara. No se arregla donde estaba porque campaign_costs es de Finance y deptrac no deja que Campaign la conozca --misma frontera que el devengo de 9.4--. Y se borra en vez de dejarse por si acaso: un metodo que calcula un numero incompleto y se llama margen() es una trampa para quien lo encuentre dentro de seis meses. De paso, SeguimientoController deja de pasar un importe y pasa un booleano mas un enlace: ningun numero interno cruza ya hasta la plantilla, que es BR-SEC-001 un paso mas alla</t>
        </is>
      </c>
    </row>
    <row r="65" ht="90.75" customHeight="1" s="36">
      <c r="A65" s="67" t="inlineStr">
        <is>
          <t>DEC-182</t>
        </is>
      </c>
      <c r="B65" s="68" t="inlineStr">
        <is>
          <t>Decidida</t>
        </is>
      </c>
      <c r="C65" s="68" t="n"/>
      <c r="D65" s="69" t="inlineStr">
        <is>
          <t>El costo del creador entra al DEVENGARSE, no al pagarse.</t>
        </is>
      </c>
      <c r="E65" s="69" t="inlineStr">
        <is>
          <t>9.10a</t>
        </is>
      </c>
      <c r="F65" s="69" t="inlineStr">
        <is>
          <t>La deuda existe desde que acepta (9.4) y su importe esta congelado desde 7.5; esperar al pago haria que una campana terminada en marzo pareciera rentabilisima hasta el lote de abril. Sale del libro mayor y no de campaign_creators, porque el libro es quien sabe que devengos siguen vivos: uno anulado ya no se debe. Y no es Compromiso::comprometido(), que cuenta tambien a los shortlisted: alli es correcto --su trabajo es proteger el presupuesto ANTES de invitar-- y aqui contaria dinero de gente que todavia puede decir que no</t>
        </is>
      </c>
    </row>
    <row r="66" ht="68.25" customHeight="1" s="36">
      <c r="A66" s="67" t="inlineStr">
        <is>
          <t>DEC-181</t>
        </is>
      </c>
      <c r="B66" s="68" t="inlineStr">
        <is>
          <t>Decidida</t>
        </is>
      </c>
      <c r="C66" s="68" t="n"/>
      <c r="D66" s="69" t="inlineStr">
        <is>
          <t>Cargar gastos no es ver el margen: campaign_manager pierde campaign.view_margin.</t>
        </is>
      </c>
      <c r="E66" s="69" t="inlineStr">
        <is>
          <t>9.10a</t>
        </is>
      </c>
      <c r="F66" s="69" t="inlineStr">
        <is>
          <t>Quien lleva una campana anota lo que se gasta y ve cuanto lleva gastado; el margen --lo que se gana-- es una cifra de direccion, y el camino por el que un numero interno acaba en un correo a un cliente empieza siempre por alguien que podia verlo sin necesitarlo (BR-SEC-001, 🔴). No nace un permiso nuevo para el margen: campaign.view_margin ya existe y hace eso, y un segundo permiso para el mismo secreto es la forma clasica de que un dia se conceda el que nadie mira. Lo que nace es finance.cost.manage, que es la capacidad que de verdad no existia. Y la revocacion va en la MIGRACION y no en el seeder (T-64)</t>
        </is>
      </c>
    </row>
    <row r="67" ht="68.25" customHeight="1" s="36">
      <c r="A67" s="67" t="inlineStr">
        <is>
          <t>DEC-180</t>
        </is>
      </c>
      <c r="B67" s="68" t="inlineStr">
        <is>
          <t>Decidida</t>
        </is>
      </c>
      <c r="C67" s="68" t="n"/>
      <c r="D67" s="69" t="inlineStr">
        <is>
          <t>El gasto de una campana se agrupa por moneda: no se suma.</t>
        </is>
      </c>
      <c r="E67" s="69" t="inlineStr">
        <is>
          <t>9.10a</t>
        </is>
      </c>
      <c r="F67" s="69" t="inlineStr">
        <is>
          <t>Un envio se paga en dolares y la campana se cobra en soles; sumarlos exige un tipo de cambio, y cual --compra, venta o media-- es una decision contable que sigue abierta (Q-63) y que da tres margenes distintos para los mismos hechos. Es la misma decision que el saldo del creador en 9.8, por el mismo motivo. Un numero que parece exacto y depende de una eleccion que nadie ha hecho es peor que dos numeros separados</t>
        </is>
      </c>
    </row>
    <row r="68" ht="79.5" customHeight="1" s="36">
      <c r="A68" s="67" t="inlineStr">
        <is>
          <t>DEC-179</t>
        </is>
      </c>
      <c r="B68" s="68" t="inlineStr">
        <is>
          <t>Decidida</t>
        </is>
      </c>
      <c r="C68" s="68" t="n"/>
      <c r="D68" s="69" t="inlineStr">
        <is>
          <t>Al creador se le avisa al CONFIRMAR y al DEVOLVER, no al enviar.</t>
        </is>
      </c>
      <c r="E68" s="69" t="inlineStr">
        <is>
          <t>9.7</t>
        </is>
      </c>
      <c r="F68" s="69" t="inlineStr">
        <is>
          <t>Avisar al enviar es avisar de una intencion: si el banco lo rechaza, el creador ya cree que cobro, y el segundo correo desmiente al primero --dos correos que se contradicen cuestan mas confianza que un correo que llega un dia mas tarde--. Ninguno de los dos lleva numero de cuenta ni referencia bancaria: un correo se lee en pantallas ajenas y se reenvia, y para saber que le pagaron no hace falta ver su cuenta; es la misma decision que los avisos de 4.13. Y lo que faltaba en payouts no eran los estados --estan desde la Fase 2-- sino el GRAFO: sin tg_payout_estado, un pago saltaba de pending a confirmed sin haber salido nunca, y uno devuelto volvia a sent con un UPDATE, borrando que el banco lo habia rechazado. Mismo agujero que ledger_entries tenia antes de 9.3</t>
        </is>
      </c>
    </row>
    <row r="69" ht="57" customHeight="1" s="36">
      <c r="A69" s="67" t="inlineStr">
        <is>
          <t>DEC-178</t>
        </is>
      </c>
      <c r="B69" s="68" t="inlineStr">
        <is>
          <t>Decidida</t>
        </is>
      </c>
      <c r="C69" s="68" t="n"/>
      <c r="D69" s="69" t="inlineStr">
        <is>
          <t>Un pago devuelto por el banco NO deshace el devengo.</t>
        </is>
      </c>
      <c r="E69" s="69" t="inlineStr">
        <is>
          <t>9.7</t>
        </is>
      </c>
      <c r="F69" s="69" t="inlineStr">
        <is>
          <t>El devengo se queda en paid porque se pago: lo que fallo fue la transferencia, no el trabajo --y paid es terminal desde DEC-169--. La correccion es un asiento de payment_reversal que apunta al asiento de pago original (BR-FIN-002), positivo, asi que devuelve el saldo; los dos hechos quedan escritos --se pago, y volvio-- en vez de que el segundo borre al primero. Nace accrued porque ck_ledger_estado_inicial no admite nacer pagable --a pagable se LLEGA-- y se mueve a payable en la misma operacion: el creador ya cumplio, y su dinero no tiene que esperar a que alguien se acuerde de revisarlo. Si el pago no tuviera asiento en el libro mayor, devolver() falla en voz alta en vez de dejar el saldo diciendo que cobro algo que no tiene</t>
        </is>
      </c>
    </row>
    <row r="70" ht="57" customHeight="1" s="36">
      <c r="A70" s="67" t="inlineStr">
        <is>
          <t>DEC-177</t>
        </is>
      </c>
      <c r="B70" s="68" t="inlineStr">
        <is>
          <t>Decidida</t>
        </is>
      </c>
      <c r="C70" s="68" t="n"/>
      <c r="D70" s="69" t="inlineStr">
        <is>
          <t>El CSV del lote NO es el archivo del banco.</t>
        </is>
      </c>
      <c r="E70" s="69" t="inlineStr">
        <is>
          <t>9.6</t>
        </is>
      </c>
      <c r="F70" s="69" t="inlineStr">
        <is>
          <t>El formato de una transferencia masiva es especifico de cada entidad y sale de su manual; inventarselo produce un archivo que el banco rechaza sin decir por que, y el sintoma aparece el dia del pago. Lo que hay es un CSV legible por una persona, para teclear o comprobar, y la pantalla lo dice con esas palabras para que nadie lo suba creyendo que es lo otro. El archivo real se construye cuando haya banco y especificacion</t>
        </is>
      </c>
    </row>
    <row r="71" ht="45.75" customHeight="1" s="36">
      <c r="A71" s="67" t="inlineStr">
        <is>
          <t>DEC-176</t>
        </is>
      </c>
      <c r="B71" s="68" t="inlineStr">
        <is>
          <t>Decidida</t>
        </is>
      </c>
      <c r="C71" s="68" t="n"/>
      <c r="D71" s="69" t="inlineStr">
        <is>
          <t>Sacar un pago de un lote firmado NO obliga a firmarlo otra vez.</t>
        </is>
      </c>
      <c r="E71" s="69" t="inlineStr">
        <is>
          <t>9.6</t>
        </is>
      </c>
      <c r="F71" s="69" t="inlineStr">
        <is>
          <t>Cuando un devengo se retiene entre la firma y la ejecucion --un post que se cae-- ese pago sale y el resto se paga igual. El importe total baja, nunca sube, y eso no puede sorprender a quien ya firmo; devolver el lote entero a borrador castigaria a diez creadores por el problema de uno. La liquidacion se anula, no se borra: es evidencia de que estuvo dentro y de que alguien lo saco, y anularla exige quien y por que (tg_pe_inmutable). Al anularse, el devengo vuelve a la cola. Un lote ya ejecutado no se toca: el dinero salio, y eso se corrige con una devolucion</t>
        </is>
      </c>
    </row>
    <row r="72" ht="79.5" customHeight="1" s="36">
      <c r="A72" s="67" t="inlineStr">
        <is>
          <t>DEC-175</t>
        </is>
      </c>
      <c r="B72" s="68" t="inlineStr">
        <is>
          <t>Decidida</t>
        </is>
      </c>
      <c r="C72" s="68" t="n"/>
      <c r="D72" s="69" t="inlineStr">
        <is>
          <t>Dos firmas SIEMPRE, sin umbral.</t>
        </is>
      </c>
      <c r="E72" s="69" t="inlineStr">
        <is>
          <t>9.6</t>
        </is>
      </c>
      <c r="F72" s="69" t="inlineStr">
        <is>
          <t>BR-FIN-005 habla de un umbral configurable y se decide no tenerlo: el equipo es pequeno y los lotes son pocos y agrupados, asi que la segunda firma cuesta un clic al mes. Un umbral hay que elegirlo, mantenerlo y explicarlo --y el dia que alguien quiera saltarse la firma, parte el lote en dos--. Que el aprobador sea otro no lo comprueba la pantalla: lo impide ck_pbatch_segregation en la base desde la Fase 2; la pantalla solo lo dice ANTES de que nadie pulse. Y el importe del pago no se teclea: sale de sumar lo que liquida, asi que no puede discrepar de lo que el lote dice que paga --Lotes::descuadre() lo comprueba antes de firmar, porque una SUMA sobre otra tabla no cabe en un CHECK--</t>
        </is>
      </c>
    </row>
    <row r="73" ht="68.25" customHeight="1" s="36">
      <c r="A73" s="67" t="inlineStr">
        <is>
          <t>DEC-174</t>
        </is>
      </c>
      <c r="B73" s="68" t="inlineStr">
        <is>
          <t>Decidida</t>
        </is>
      </c>
      <c r="C73" s="68" t="n"/>
      <c r="D73" s="69" t="inlineStr">
        <is>
          <t>Nace payout_earnings: que devengos paga cada pago.</t>
        </is>
      </c>
      <c r="E73" s="69" t="inlineStr">
        <is>
          <t>9.6</t>
        </is>
      </c>
      <c r="F73" s="69" t="inlineStr">
        <is>
          <t>ledger_entries.payout_id ataba UN asiento de pago a su payout (BR-FIN-013), pero el detalle --que devengos liquida-- no existia. Sin el, «.de que campanas es este dinero?» no tiene respuesta, y sin respuesta no hay nada que comparar con la sociedad del lote, que es lo que DEC-157 mando cerrar aqui. Con el detalle, BR-LE-009 se vuelve una consulta de tres saltos que cabe en tg_pe_sociedad. Se comprueba al enganchar el devengo al pago y no al aprobar el lote: aprobar es una firma sobre algo que ya tiene que estar bien, y una regla que solo mira al final deja existir el estado malo mientras tanto --que es como alguien lo ve, lo exporta, o lo cree--. Vigesimoseptima columna puerta: uq_pe_viva, un devengo en una sola liquidacion VIVA</t>
        </is>
      </c>
    </row>
    <row r="74" ht="68.25" customHeight="1" s="36">
      <c r="A74" s="67" t="inlineStr">
        <is>
          <t>DEC-173</t>
        </is>
      </c>
      <c r="B74" s="68" t="inlineStr">
        <is>
          <t>Decidida</t>
        </is>
      </c>
      <c r="C74" s="68" t="n"/>
      <c r="D74" s="69" t="inlineStr">
        <is>
          <t>La fecha de cobro se ensena SOLO cuando el asiento ya es pagable.</t>
        </is>
      </c>
      <c r="E74" s="69" t="inlineStr">
        <is>
          <t>9.8</t>
        </is>
      </c>
      <c r="F74" s="69" t="inlineStr">
        <is>
          <t>BR-FIN-012 dice que el plazo son 30 dias desde la verificacion y que es visible desde que acepta: lo visible desde que acepta es el plazo, y una FECHA es otra cosa que se lee muy distinto. Mientras el asiento esta devengado se ensena que falta --las cinco condiciones de BR-FIN-003, con sus palabras--, que es accionable: un creador puede hacer algo con «no tienes ningun medio de pago verificado» y no puede hacer nada con una fecha que depende de trabajo que aun no ha hecho. Y si esa fecha se corriera, la culpa pareceria nuestra. La cuenta arranca en la ultima verificacion de sus publicaciones, y si no hay ninguna --un formato que no exige post-- en la fecha en que se completo la participacion</t>
        </is>
      </c>
    </row>
    <row r="75" ht="57" customHeight="1" s="36">
      <c r="A75" s="67" t="inlineStr">
        <is>
          <t>DEC-172</t>
        </is>
      </c>
      <c r="B75" s="68" t="inlineStr">
        <is>
          <t>Decidida</t>
        </is>
      </c>
      <c r="C75" s="68" t="n"/>
      <c r="D75" s="69" t="inlineStr">
        <is>
          <t>El motivo interno de una retencion NO se le ensena al creador.</t>
        </is>
      </c>
      <c r="E75" s="69" t="inlineStr">
        <is>
          <t>9.8</t>
        </is>
      </c>
      <c r="F75" s="69" t="inlineStr">
        <is>
          <t>Lo escribe el equipo para el expediente y puede nombrar personas o sospechas todavia sin confirmar; un texto redactado deprisa --«parece que lo borro a proposito»-- leido sin contexto es una acusacion de la que no se vuelve. El creador ve «En revision -- te escribimos» y, desde 8.8, recibe un correo donde se le explica de verdad. Las palabras del portal tampoco son las del back-office: on_hold es «en revision» y no «retenido», porque la palabra interna describe lo que hace el sistema y la del portal tiene que describir lo que le pasa a el. La frontera vive en Ledger::misIngresos(), que enumera columnas --el mismo sitio que Aprobaciones::pieza() en 8.5--: devolver la fila entera y confiar en que la plantilla no imprima de mas es confiar en la plantilla de manana. Tampoco cruzan los asientos anulados: no le afectan y no sabe leerlos</t>
        </is>
      </c>
    </row>
    <row r="76" ht="45.75" customHeight="1" s="36">
      <c r="A76" s="67" t="inlineStr">
        <is>
          <t>DEC-171</t>
        </is>
      </c>
      <c r="B76" s="68" t="inlineStr">
        <is>
          <t>Decidida</t>
        </is>
      </c>
      <c r="C76" s="68" t="n"/>
      <c r="D76" s="69" t="inlineStr">
        <is>
          <t>El barrido rescata las aceptaciones sin devengo, y avisa de que hubo que rescatarlas.</t>
        </is>
      </c>
      <c r="E76" s="69" t="inlineStr">
        <is>
          <t>9.4</t>
        </is>
      </c>
      <c r="F76" s="69" t="inlineStr">
        <is>
          <t>Un listener puede fallar, y si falla el creador queda aceptado y su dinero invisible; ademas las participaciones aceptadas antes de 9.4 nunca pasaron por el. ledger:revisar las anota antes de revisar --para que un devengo recuperado hoy pueda pasar a pagable hoy y no manana-- y lo dice en amarillo: que la lista no salga en cero es la noticia, no el arreglo. Es la misma red que 8.1 dejo para los entregables. Las gratuitas quedan fuera de esa lista a proposito: si no, el barrido intentaria lo imposible todos los dias y avisaria todos los dias de algo que esta bien</t>
        </is>
      </c>
    </row>
    <row r="77" ht="68.25" customHeight="1" s="36">
      <c r="A77" s="67" t="inlineStr">
        <is>
          <t>DEC-170</t>
        </is>
      </c>
      <c r="B77" s="68" t="inlineStr">
        <is>
          <t>Decidida</t>
        </is>
      </c>
      <c r="C77" s="68" t="n"/>
      <c r="D77" s="69" t="inlineStr">
        <is>
          <t>Se devenga al ACEPTAR, no al terminar, y por evento.</t>
        </is>
      </c>
      <c r="E77" s="69" t="inlineStr">
        <is>
          <t>9.4</t>
        </is>
      </c>
      <c r="F77" s="69" t="inlineStr">
        <is>
          <t>Al aceptar es cuando existe la deuda: 7.5 congela el agreed_amount en ese instante y BR-CREATOR-008 impide cambiarlo despues sin una enmienda firmada por las dos partes. Que todavia no se le pueda pagar es otra cosa y vive en el estado --accrued significa exactamente «se le debe y aun no se le puede pagar»--. Devengar al terminar habria dejado el trabajo hecho y el compromiso invisible hasta el final, que es como una campana se cierra sin que nadie sepa cuanto costo mientras corria. Va por evento y no por llamada directa por lo mismo que 8.1: deptrac no deja que Campaign conozca a Finance, y esta bien que no lo haga --si anotar el asiento falla, la aceptacion sigue siendo cierta, y el creador ya pulso «acepto»--. Y dos finales NO son fallos: que ya hubiera devengo --uq_ledger_devengo funcionando-- y que la colaboracion sea un canje. Si los tres se escribieran igual, el log diria que algo fallo cada vez que alguien acepta un canje, y a la tercera nadie lo lee</t>
        </is>
      </c>
    </row>
    <row r="78" ht="57" customHeight="1" s="36">
      <c r="A78" s="67" t="inlineStr">
        <is>
          <t>DEC-169</t>
        </is>
      </c>
      <c r="B78" s="68" t="inlineStr">
        <is>
          <t>Decidida</t>
        </is>
      </c>
      <c r="C78" s="68" t="n"/>
      <c r="D78" s="69" t="inlineStr">
        <is>
          <t>El estado de un asiento tiene un grafo, y moverlo exige decir por que.</t>
        </is>
      </c>
      <c r="E78" s="69" t="inlineStr">
        <is>
          <t>9.3</t>
        </is>
      </c>
      <c r="F78" s="69" t="inlineStr">
        <is>
          <t>tg_ledger_no_update es columna por columna y deja pasar status a proposito --sin eso la tabla no serviria-- pero de ahi no salia QUE transicion es valida: un paid podia volver a accrued, o sea dinero ya pagado reapareciendo como deuda. Es tg_del_rondas de 8.4 otra vez. paid y void son terminales: un pago que se deshace se corrige con un asiento de payment_reversal, no cambiando este estado. Y toda transicion exige status_reason: sin ella, «.por que este creador no cobro?» se contesta mirando la fecha y adivinando. A la bitacora solo va lo que decide una persona --las automaticas son miles y taparian justo lo que se busca ahi--; el rastro completo vive en status_transitions. Ademas nace uq_ledger_devengo, vigesimosexta columna puerta: un devengo por participacion, que BR-FIN-015 daba por hecho sin decirlo</t>
        </is>
      </c>
    </row>
    <row r="79" ht="57" customHeight="1" s="36">
      <c r="A79" s="67" t="inlineStr">
        <is>
          <t>DEC-168</t>
        </is>
      </c>
      <c r="B79" s="68" t="inlineStr">
        <is>
          <t>Decidida</t>
        </is>
      </c>
      <c r="C79" s="68" t="n"/>
      <c r="D79" s="69" t="inlineStr">
        <is>
          <t>El asiento va en la moneda PACTADA; se convierte al pagar.</t>
        </is>
      </c>
      <c r="E79" s="69" t="inlineStr">
        <is>
          <t>9.3</t>
        </is>
      </c>
      <c r="F79" s="69" t="inlineStr">
        <is>
          <t>Se escribe con el agreed_amount y la moneda congelados al aceptar en 7.5: se le debe lo que se le prometio, en la moneda en que se le prometio. La conversion ocurre al armar el pago, con la tasa de ESE dia, y se congela en el asiento de pago (BR-FIN-009). Convertir al devengar habria dejado el saldo del creador en una sola moneda --mas facil de leer-- fijando el tipo de cambio meses antes de pagar: si el dolar sube, el creador cobra menos de lo pactado o nosotros pagamos mas, sin que nadie lo haya decidido</t>
        </is>
      </c>
    </row>
    <row r="80" ht="68.25" customHeight="1" s="36">
      <c r="A80" s="67" t="inlineStr">
        <is>
          <t>DEC-167</t>
        </is>
      </c>
      <c r="B80" s="68" t="inlineStr">
        <is>
          <t>Decidida</t>
        </is>
      </c>
      <c r="C80" s="68" t="n"/>
      <c r="D80" s="69" t="inlineStr">
        <is>
          <t>Un post caido RETIENE el asiento; no lo anula.</t>
        </is>
      </c>
      <c r="E80" s="69" t="inlineStr">
        <is>
          <t>9.3</t>
        </is>
      </c>
      <c r="F80" s="69" t="inlineStr">
        <is>
          <t>8.8 ya lo decidio para el contenido --«el sistema no descuenta nada; la decision de que se le paga la toma una persona con el expediente montado»-- y aqui es lo mismo aplicado al dinero: on_hold saca el asiento de la cola de pago y espera. Reversible: si el creador repone el post, vuelve a payable. Anularlo con una reversion habria sido contablemente mas limpio y habria decidido por su cuenta que no se le paga, que es justo lo que DEC-145 prohibe. Y un asiento retenido no cuenta como saldo: meterlo seria prometerle al creador algo que todavia no esta decidido</t>
        </is>
      </c>
    </row>
    <row r="81" ht="68.25" customHeight="1" s="36">
      <c r="A81" s="67" t="inlineStr">
        <is>
          <t>DEC-166</t>
        </is>
      </c>
      <c r="B81" s="68" t="inlineStr">
        <is>
          <t>Decidida</t>
        </is>
      </c>
      <c r="C81" s="68" t="n"/>
      <c r="D81" s="69" t="inlineStr">
        <is>
          <t>Pasar un devengo a pagable lo hace el SISTEMA, no una persona.</t>
        </is>
      </c>
      <c r="E81" s="69" t="inlineStr">
        <is>
          <t>9.3</t>
        </is>
      </c>
      <c r="F81" s="69" t="inlineStr">
        <is>
          <t>BR-FIN-003 pide cinco cosas --participacion completada, contenido aprobado, publicacion verificada si aplica, documento tributario valido y medio de pago verificado-- y las cinco ya las firmo alguien una por una: quien verifico la publicacion, quien aprobo el perfil fiscal, quien verifico la cuenta. Una sexta firma que solo dice «si, se cumplen las cinco» es un boton que alguien acaba pulsando sin mirar, y una cola que retrasa pagos por acumulacion y no por duda. Ledger::requisitos() devuelve las cinco con su veredicto y no la primera que falla, porque quien mira por que un creador no cobra necesita la lista entera. El «si aplica» de la publicacion se implementa contando: si ningun entregable tiene publicacion el requisito se da por cumplido --un formato que no exige post no puede bloquear un pago para siempre--</t>
        </is>
      </c>
    </row>
    <row r="82" ht="45.75" customHeight="1" s="36">
      <c r="A82" s="67" t="inlineStr">
        <is>
          <t>DEC-165</t>
        </is>
      </c>
      <c r="B82" s="68" t="inlineStr">
        <is>
          <t>Decidida</t>
        </is>
      </c>
      <c r="C82" s="68" t="n"/>
      <c r="D82" s="69" t="inlineStr">
        <is>
          <t>Decolecta trae USD → PEN y nada mas, y el sistema lo dice en vez de disimularlo.</t>
        </is>
      </c>
      <c r="E82" s="69" t="inlineStr">
        <is>
          <t>9.2</t>
        </is>
      </c>
      <c r="F82" s="69" t="inlineStr">
        <is>
          <t>Publica el tipo de cambio de SUNAT, y SUNAT solo publica el dolar. Por eso Decolecta no acepta un par como parametro --sabe traer lo unico que su fuente publica, y decirlo es mas honesto que aceptar COP y fallar raro--; el catalogo declara USD → PEN = sunat y ningun otro par, porque declarar una fuente que no publica es peor que no tener ninguna; la pantalla tiene carga manual con fuente manual y no disfrazada de sunat, que es lo que permite distinguir despues que se trajo y que se tecleo; y lo dice en la propia pantalla, para que «no llega la tasa del peso mexicano» no se diagnostique como un cron roto. Que fuente se usa para los demas pares queda como Q-64</t>
        </is>
      </c>
    </row>
    <row r="83" ht="68.25" customHeight="1" s="36">
      <c r="A83" s="67" t="inlineStr">
        <is>
          <t>DEC-164</t>
        </is>
      </c>
      <c r="B83" s="68" t="inlineStr">
        <is>
          <t>Decidida</t>
        </is>
      </c>
      <c r="C83" s="68" t="n"/>
      <c r="D83" s="69" t="inlineStr">
        <is>
          <t>El cron deja rastro de cada intento, y pide TRES dias.</t>
        </is>
      </c>
      <c r="E83" s="69" t="inlineStr">
        <is>
          <t>9.2</t>
        </is>
      </c>
      <c r="F83" s="69" t="inlineStr">
        <is>
          <t>fx_fetch_runs. Cambio::DIAS_ATRAS detecta que las tasas dejaron de llegar cuando alguien va a convertir, o sea el dia de la liquidacion; esto lo ensena antes, y la pantalla lo resume arriba solo si hay algo que mirar --una pantalla que siempre tiene un aviso es una pantalla cuyos avisos nadie lee--. ck_ffr_nuevas obliga a que una corrida fallida diga cero, porque el registro que contesta «.sigue vivo el cron?» no puede afirmar que una corrida con error trajo tres tasas. Tres dias y no uno: si no corrio viernes ni sabado, pedir solo el domingo deja dos huecos que nadie rellena a mano, y repetir un dia no cuesta una fila --uq_fx_rate-- sino una peticion. Y termina en 0 aunque un dia falle: un cron que da error a diario hace ruido donde nadie mira; solo falla si NINGUN dia se pudo traer</t>
        </is>
      </c>
    </row>
    <row r="84" ht="57" customHeight="1" s="36">
      <c r="A84" s="67" t="inlineStr">
        <is>
          <t>DEC-163</t>
        </is>
      </c>
      <c r="B84" s="68" t="inlineStr">
        <is>
          <t>Decidida</t>
        </is>
      </c>
      <c r="C84" s="68" t="n"/>
      <c r="D84" s="69" t="inlineStr">
        <is>
          <t>Cada final de la traida tiene su nombre, y traer() no lanza.</t>
        </is>
      </c>
      <c r="E84" s="69" t="inlineStr">
        <is>
          <t>9.2</t>
        </is>
      </c>
      <c r="F84" s="69" t="inlineStr">
        <is>
          <t>ok, sin_credencial, error_http, error_red, respuesta_rara. En un catch generico los cinco se ven iguales y exigen cinco arreglos distintos: «no hay clave» se arregla configurandola, «401» rotandola, «200 con un cuerpo raro» mirando la API. Un 404 --dia sin publicar-- ni siquiera se pinta como averia: quien lee la salida del cron todos los dias deja de leerla si le grita por lo normal. Y una respuesta que no se entiende no anota nada: una tasa inventada entraria en una tabla que tg_fx_inmutable no deja corregir</t>
        </is>
      </c>
    </row>
    <row r="85" ht="57" customHeight="1" s="36">
      <c r="A85" s="67" t="inlineStr">
        <is>
          <t>DEC-162</t>
        </is>
      </c>
      <c r="B85" s="68" t="inlineStr">
        <is>
          <t>Decidida</t>
        </is>
      </c>
      <c r="C85" s="68" t="n"/>
      <c r="D85" s="69" t="inlineStr">
        <is>
          <t>La credencial se configura desde la pantalla, pero el ENTORNO manda y en la base va CIFRADA.</t>
        </is>
      </c>
      <c r="E85" s="69" t="inlineStr">
        <is>
          <t>9.2</t>
        </is>
      </c>
      <c r="F85" s="69" t="inlineStr">
        <is>
          <t>La peticion era «la configurare en la pantalla del admin». Se hace, con dos condiciones que salen de la regla de seguridad del propio proyecto --«no almacenar secretos en texto plano en BD cuando exista alternativa segura»--: si hay DECOLECTA_API_KEY en el entorno se usa esa y la de la base ni se mira --no viaja por el navegador, no esta en ninguna tabla, no sale en un volcado--; y si no la hay, se guarda con Crypt, la misma maquina que cifra las cuentas bancarias desde 3.8. La clave no se reensena jamas, ni al que la escribio un minuto antes: la pantalla dice «termina en 8f2a» y de donde sale. La bitacora anota que cambio y los cuatro ultimos, nunca el valor. Y tg_fxs_credencial_firmada exige quien la puso, cuando y la pista, las tres o ninguna: media firma es peor que ninguna porque parece que «quien la puso» tiene respuesta. El permiso va aparte: la pantalla es fx.manage --la tiene finanzas-- y la credencial es integration.manage --solo admin--, porque una clave de un tercero es un permiso de gasto y no la necesita quien anota una tasa un lunes</t>
        </is>
      </c>
    </row>
    <row r="86" ht="57" customHeight="1" s="36">
      <c r="A86" s="67" t="inlineStr">
        <is>
          <t>DEC-161</t>
        </is>
      </c>
      <c r="B86" s="68" t="inlineStr">
        <is>
          <t>Decidida</t>
        </is>
      </c>
      <c r="C86" s="68" t="n"/>
      <c r="D86" s="69" t="inlineStr">
        <is>
          <t>porque() admite alternancia, y eso es lo que faltaba para bajar el trinquete de las 297.</t>
        </is>
      </c>
      <c r="E86" s="69" t="inlineStr">
        <is>
          <t>9.1</t>
        </is>
      </c>
      <c r="F86" s="69" t="inlineStr">
        <is>
          <t>Los dos motores contestan cosas distintas a la MISMA regla cuando la creo Restriccion: MariaDB dice «CONSTRAINT ck_fos_dates failed» y Percona dice el mensaje. El nombre sale en uno y el mensaje en el otro, y no coinciden en ningun texto, asi que toda regla de Restriccion tenia que quedarse en un probar ... RECHAZO a secas. Con grep -qE, porque ... 'ck_fos_dates|antes de empezar' afirma el motivo en los dos motores. DEC-154 puso el trinquete y conto 297; esto es la herramienta para bajarlo</t>
        </is>
      </c>
    </row>
    <row r="87" ht="68.25" customHeight="1" s="36">
      <c r="A87" s="67" t="inlineStr">
        <is>
          <t>DEC-160</t>
        </is>
      </c>
      <c r="B87" s="68" t="inlineStr">
        <is>
          <t>Decidida</t>
        </is>
      </c>
      <c r="C87" s="68" t="n"/>
      <c r="D87" s="69" t="inlineStr">
        <is>
          <t>Un dia sin tasa usa la ultima anterior, y lo que se guarda es la fecha de ESA tasa.</t>
        </is>
      </c>
      <c r="E87" s="69" t="inlineStr">
        <is>
          <t>9.1</t>
        </is>
      </c>
      <c r="F87" s="69" t="inlineStr">
        <is>
          <t>Sabados, domingos y feriados no tienen tipo publicado. Se convierte con la del viernes y el asiento dice «tasa del viernes», no «tasa del domingo»: guardar la fecha de la operacion habria sido mas comodo de leer y habria hecho que el historico afirmara que ese domingo hubo una tasa que nunca existio (BR-FIN-009). Es un supuesto fiscal y esta marcado como tal (§56): que la practica peruana sea el ultimo tipo publicado lo confirma el contador. Y hay un corte de 10 dias, porque «la ultima anterior» tapa una averia: si lo ultimo es de hace tres semanas no fue un feriado, es que el cron dejo de traerlas, y sin ese corte una tabla congelada se ve igual que una sana hasta el dia de la liquidacion</t>
        </is>
      </c>
    </row>
    <row r="88" ht="34.5" customHeight="1" s="36">
      <c r="A88" s="67" t="inlineStr">
        <is>
          <t>DEC-159</t>
        </is>
      </c>
      <c r="B88" s="68" t="inlineStr">
        <is>
          <t>Decidida</t>
        </is>
      </c>
      <c r="C88" s="68" t="n"/>
      <c r="D88" s="69" t="inlineStr">
        <is>
          <t>Compra y venta son dos filas, y cual aplica NO tiene valor por defecto.</t>
        </is>
      </c>
      <c r="E88" s="69" t="inlineStr">
        <is>
          <t>9.1</t>
        </is>
      </c>
      <c r="F88" s="69" t="inlineStr">
        <is>
          <t>SUNAT publica las dos el mismo dia y no son intercambiables. Con una sola columna rate solo cabe una, y elegir cual guardar habria sido tomar por mi cuenta una decision contable en el sitio donde menos se ve. side entra en la clave, asi que las dos caben sin pisarse. Y Cambio::tasa() exige el lado como parametro sin defecto: un defecto aqui es exactamente la forma en que una decision fiscal se toma sola. Queda Q-63 para el contador, y por eso el buscador de creadores sigue sin convertir aunque la maquina ya exista</t>
        </is>
      </c>
    </row>
    <row r="89" ht="57" customHeight="1" s="36">
      <c r="A89" s="67" t="inlineStr">
        <is>
          <t>DEC-158</t>
        </is>
      </c>
      <c r="B89" s="68" t="inlineStr">
        <is>
          <t>Decidida</t>
        </is>
      </c>
      <c r="C89" s="68" t="n"/>
      <c r="D89" s="69" t="inlineStr">
        <is>
          <t>Que fuente publica el tipo de cambio se DECLARA, con periodos, y no se elige al convertir.</t>
        </is>
      </c>
      <c r="E89" s="69" t="inlineStr">
        <is>
          <t>9.1</t>
        </is>
      </c>
      <c r="F89" s="69" t="inlineStr">
        <is>
          <t>uq_exchange_rates incluia source a proposito --dos fuentes pueden discrepar el mismo dia y BR-FIN-009 exige poder decir de cual salio la que se aplico-- pero de ahi no salia CUAL SE APLICA. Es el estado EMPATE de CoberturaFacturacion, el que una vez produjo una factura emitida por la sociedad equivocada, y la respuesta es la misma que entonces: uq_fos_current garantiza una sola fuente VIGENTE por par, y fos_sin_solape una sola POR FECHA --que es la mitad que se olvida, porque convertir un importe de marzo resuelve por par Y por fecha--. Con periodos y no con una columna porque el historico tiene que seguir explicandose con quien mandaba entonces: si fuera una columna, cambiar de proveedor reescribiria como se convirtio todo lo anterior</t>
        </is>
      </c>
    </row>
    <row r="90" ht="45.75" customHeight="1" s="36">
      <c r="A90" s="67" t="inlineStr">
        <is>
          <t>DEC-157</t>
        </is>
      </c>
      <c r="B90" s="68" t="inlineStr">
        <is>
          <t>Decidida</t>
        </is>
      </c>
      <c r="C90" s="68" t="n"/>
      <c r="D90" s="69" t="inlineStr">
        <is>
          <t>BR-LE-009 se comprueba cuando se escribe el primer pago, no en la iteracion 9.11.</t>
        </is>
      </c>
      <c r="E90" s="69" t="inlineStr">
        <is>
          <t>8.13</t>
        </is>
      </c>
      <c r="F90" s="69" t="inlineStr">
        <is>
          <t>El roadmap tenia la validacion de «la sociedad que factura y la que liquida son la misma» como iteracion 11 de 14 de la fase de finanzas. Una regla 🔴 que llega la penultima llega despues de que diez iteraciones se hayan construido dandola por buena, y es exactamente la forma de fallo de 8.4: el techo de rondas existia entero en PHP desde 8.3 y nada lo respaldaba en la base. Aqui es peor, porque lo que se cuela no es una ronda: es dinero saliendo de la sociedad equivocada, que es una operacion intercompania no documentada. Pasa a ser requisito de la iteracion que estrene payout_batches, y en la base: un lote nombra su sociedad y sus asientos nombran sus campanas, asi que la comprobacion es cross-table y le toca a un disparador, no a un CHECK. Y con esto DEC-020 deja de ser PROPUESTA: preguntaba si permitir que la entidad que factura y la que liquida divergieran, y recomendaba modelar la separacion y bloquearla en el MVP. DEC-156 lo contesta y ademas le quita el «en el MVP»</t>
        </is>
      </c>
    </row>
    <row r="91" ht="45.75" customHeight="1" s="36">
      <c r="A91" s="67" t="inlineStr">
        <is>
          <t>DEC-156</t>
        </is>
      </c>
      <c r="B91" s="68" t="inlineStr">
        <is>
          <t>Decidida</t>
        </is>
      </c>
      <c r="C91" s="68" t="n"/>
      <c r="D91" s="69" t="inlineStr">
        <is>
          <t>La campana decide quien paga a cada creador, y el pais del creador no entra en esa decision.</t>
        </is>
      </c>
      <c r="E91" s="69" t="inlineStr">
        <is>
          <t>8.12</t>
        </is>
      </c>
      <c r="F91" s="69" t="inlineStr">
        <is>
          <t>Un creador colombiano en una campana de CTS Peru cobra de CTS Peru. La sociedad sale del pais del CLIENTE, se guarda en la campana y el pago la hereda de ahi, congelada al confirmar igual que agreed_amount; lo implementa F9. [Corregido el 2026-08-27, T-59: la version original de esta entrada decia que «payouts no tiene ninguna columna de sociedad» y eso es falso. payout_batches.legal_entity_id existe desde la migracion de finanzas y el pago la hereda de su lote. Lo que NO existe es la garantia de que sea la correcta: nada ata el lote a las campanas cuyos asientos liquida, asi que hoy un lote de CTS Colombia podria pagar el trabajo de una campana de CTS Peru y ninguna restriccion lo notaria.] Esto no inventa la regla: BR-LE-009 ya la decia, con «en el MVP» delante y en naranja. Se le quita el «en el MVP» y sube a 🔴, porque no es una simplificacion temporal sino como funciona el grupo. La alternativa --que pagara la sociedad del pais del creador-- parte una campana en dos contabilidades, obliga a que el margen de una campana se calcule entre sociedades y exige cobertura en el pais de cada creador antes de poder invitarlo: hoy Espana no tiene sociedad y con esa alternativa un creador espanol seria ininvitable. Y cambia el eje de Q-40: la retencion depende de quien paga Y de donde esta el creador, no solo de lo segundo, asi que la tabla del contador pasa a ser «CTS Peru pagando a un creador de cada pais» y CTS Colombia tiene la suya, para un contador colombiano</t>
        </is>
      </c>
    </row>
    <row r="92" ht="34.5" customHeight="1" s="36">
      <c r="A92" s="67" t="inlineStr">
        <is>
          <t>DEC-155</t>
        </is>
      </c>
      <c r="B92" s="68" t="inlineStr">
        <is>
          <t>Decidida</t>
        </is>
      </c>
      <c r="C92" s="68" t="n"/>
      <c r="D92" s="69" t="inlineStr">
        <is>
          <t>La sociedad que factura NO se elige: se resuelve, y la pantalla enseña por que.</t>
        </is>
      </c>
      <c r="E92" s="69" t="inlineStr">
        <is>
          <t>8.12</t>
        </is>
      </c>
      <c r="F92" s="69" t="inlineStr">
        <is>
          <t>El planteamiento era poner un desplegable «CTS Peru / CTS Colombia» en la campana. No se hace, y el motivo esta en el esquema: uq_lec_country mas tg_lec_sin_solape_ins/upd garantizan que en cualquier fecha hay como mucho una sociedad cubriendo un pais, asi que el desplegable tendria siempre una opcion --y una opcion que se puede cambiar es una que alguien puede cambiar mal--. Ya existia campaigns.billing_legal_entity_id, resuelto a starts_on por Campanas::quienFactura() y congelado al confirmar por tg_camp_entidad_congelada. Lo que faltaba no era el campo: era decirlo. La ficha ahora dice quien factura Y su motivo --«CTS Peru factura a Peru desde el 2025-01-01 (sociedad local)»--, porque una sociedad a secas no se puede comprobar y con su motivo y su fecha quien la lee sabe si es la que esperaba y puede discutirla antes de que salga una factura. El formulario de alta no adelanta una respuesta: el pais del cliente y la fecha todavia no existen, y resolver «con la cobertura de hoy» para ensenarlo es justo el «deducirlo de la configuracion vigente» que prohibe BR-LE-001</t>
        </is>
      </c>
    </row>
    <row r="93" ht="45.75" customHeight="1" s="36">
      <c r="A93" s="67" t="inlineStr">
        <is>
          <t>DEC-154</t>
        </is>
      </c>
      <c r="B93" s="68" t="inlineStr">
        <is>
          <t>Decidida</t>
        </is>
      </c>
      <c r="C93" s="68" t="n"/>
      <c r="D93" s="69" t="inlineStr">
        <is>
          <t>Los ayudantes de las suites viven en UN archivo, y nace la SEPTIMA puerta.</t>
        </is>
      </c>
      <c r="E93" s="69" t="inlineStr">
        <is>
          <t>8.11</t>
        </is>
      </c>
      <c r="F93" s="69" t="inlineStr">
        <is>
          <t>tools/pruebas/comun.sh y tools/verificar-suites.py. La puerta comprueba que toda suite listada existe, que ninguna define sus propios probar/valor/porque, que todas cargan comun.sh, y lleva un trinquete: cuantas aserciones negativas afirman POR QUE se rechaza y cuantas solo que algo fallo. Hoy son 89 con motivo y 297 sin el, y ese segundo numero solo puede bajar (tools/pruebas/MOTIVOS-BASE). No se convierten las 297 en esta iteracion --son veintidos suites de cuatro fases-- pero desde hoy no pueden ser 298, y ademas cada probar ... RECHAZO enseña en gris que restriccion respondio, para que el desajuste se vea al leer la salida. Es la leccion de T-48, T-50, T-51 y T-54: las cuatro fueron aserciones verdes por el motivo equivocado y las cuatro eran un probar ... RECHAZO a secas</t>
        </is>
      </c>
    </row>
    <row r="94" ht="45.75" customHeight="1" s="36">
      <c r="A94" s="67" t="inlineStr">
        <is>
          <t>DEC-153</t>
        </is>
      </c>
      <c r="B94" s="68" t="inlineStr">
        <is>
          <t>Decidida</t>
        </is>
      </c>
      <c r="C94" s="68" t="n"/>
      <c r="D94" s="69" t="inlineStr">
        <is>
          <t>Una peticion de cambios sin rondas queda PENDIENTE de autorizar.</t>
        </is>
      </c>
      <c r="E94" s="69" t="inlineStr">
        <is>
          <t>8.5</t>
        </is>
      </c>
      <c r="F94" s="69" t="inlineStr">
        <is>
          <t>Se registra y no se convierte en ronda hasta que alguien del equipo decida si se le cobra o la absorbemos; al cliente se le confirma que su peticion llego --que es verdad-- sin prometerle que sera gratis. Cae solo del modelo de DEC-151: como la respuesta no crea la revision, no hay ronda que consumir hasta que una persona emite el veredicto. Aprobaciones::pendientes() es la lista de lo que espera esa decision. La pantalla de gracias NO dice «lo corregimos»: decirlo seria prometer por su cuenta algo que todavia no esta decidido</t>
        </is>
      </c>
    </row>
    <row r="95" ht="57" customHeight="1" s="36">
      <c r="A95" s="67" t="inlineStr">
        <is>
          <t>DEC-152</t>
        </is>
      </c>
      <c r="B95" s="68" t="inlineStr">
        <is>
          <t>Decidida</t>
        </is>
      </c>
      <c r="C95" s="68" t="n"/>
      <c r="D95" s="69" t="inlineStr">
        <is>
          <t>El silencio del cliente no hace nada, y por eso 8.5 no estrena comando.</t>
        </is>
      </c>
      <c r="E95" s="69" t="inlineStr">
        <is>
          <t>8.5</t>
        </is>
      </c>
      <c r="F95" s="69" t="inlineStr">
        <is>
          <t>El enlace caduca, la pieza se queda donde estaba y sale en la bandeja. Nadie aprueba ni rechaza en nombre de nadie. «Silencio = aprobado» habria desbloqueado la campana sin perseguir a nadie y necesita estar escrito en el contrato: dar por buena una pieza que nadie miro es una firma que el sistema pone por el cliente, y de ahi cuelgan la publicacion y el pago. Y de ahi sale que no haga falta un comando de caducidad, al reves que en 7.6: alli una invitacion sin contestar dejaba dinero comprometido y una plaza de cupo ocupada --habia un estado del mundo que corregir-- y aqui expires_at &lt; NOW() basta. Un comando que no arregla nada es una linea de cron mas que mantener y una cosa mas que puede fallar en silencio</t>
        </is>
      </c>
    </row>
    <row r="96" ht="57" customHeight="1" s="36">
      <c r="A96" s="67" t="inlineStr">
        <is>
          <t>DEC-151</t>
        </is>
      </c>
      <c r="B96" s="68" t="inlineStr">
        <is>
          <t>Decidida</t>
        </is>
      </c>
      <c r="C96" s="68" t="n"/>
      <c r="D96" s="69" t="inlineStr">
        <is>
          <t>La respuesta del cliente se REGISTRA; el equipo cierra.</t>
        </is>
      </c>
      <c r="E96" s="69" t="inlineStr">
        <is>
          <t>8.5</t>
        </is>
      </c>
      <c r="F96" s="69" t="inlineStr">
        <is>
          <t>El cliente dice «me vale» o «cambiad esto» desde un enlace firmado, y eso queda escrito con su hora y su IP --pero no mueve el entregable--. La alternativa era que su OK aprobara la pieza directamente, y se descarto por dos razones. (a) Habria obligado a partir approved en dos estados: hoy significa «listo para publicar» y 8.6 publica desde ahi, asi que sin un «aprobado interno, esperando al cliente» el mismo estado significaria dos cosas --el fallo de T-50--. (b) Y la que decide: la correccion del cliente gasta ronda, y desde 8.4 una ronda de mas exige firma y decision de facturacion. El cliente no puede firmar un cargo contra si mismo. Si su respuesta moviera la pieza sola, o se le cobraria sin que nadie lo autorizara, o habria que dejarle una puerta por la que las rondas no se cuentan. La pantalla se lo dice con esas palabras: quien pulsa «me vale» y no ve nada moverse tiene derecho a saber que pasa despues</t>
        </is>
      </c>
    </row>
    <row r="97" ht="57" customHeight="1" s="36">
      <c r="A97" s="67" t="inlineStr">
        <is>
          <t>DEC-150</t>
        </is>
      </c>
      <c r="B97" s="68" t="inlineStr">
        <is>
          <t>Decidida</t>
        </is>
      </c>
      <c r="C97" s="68" t="n"/>
      <c r="D97" s="69" t="inlineStr">
        <is>
          <t>El techo de rondas pasa a la base, y los disparadores siguen siendo GUARDAS.</t>
        </is>
      </c>
      <c r="E97" s="69" t="inlineStr">
        <is>
          <t>8.4</t>
        </is>
      </c>
      <c r="F97" s="69" t="inlineStr">
        <is>
          <t>8.3 construyo el limite entero --rondas(), vetoParaRevisar(), content.extra_round, over_included, la cola con «quedan/incluidas»-- y lo dejo TODO en PHP. Tres reglas se estaban aplicando sin que nada las respaldara en el esquema: (a) ck_cvw_round no decia DE QUIEN era la correccion, asi que una revision nuestra podia gastarle una ronda al cliente --DEC-133 vivia solo en consumeRonda()--; (b) nada obligaba a over_included a decir la verdad, y esa columna es la que cargosPendientes() cuenta para facturar, o sea que una fila que miente ahi es una correccion que se trabaja y no se cobra; (c) el contador podia bajar, y bajarlo devuelve rondas ya gastadas sin la firma de nadie. tg_cvw_techo mira las DOS direcciones --agotadas sin declarar, y declarada sin estarlo-- y es cross-table, asi que un CHECK no puede verlo; lee el contador ANTES de que emitir() lo suba, que es el mismo valor con el que el servicio calculo su $exceso. Y no se hizo lo tentador: que el contador lo subiera un AFTER INSERT habria hecho imposible la desincronizacion, pero ninguno de los 504 disparadores de este esquema modifica una fila y un disparador que HACE cosas convierte el esquema en algo que actua a espaldas de quien lee el codigo. Habia fecha para esto: 8.5 escribe revisiones del cliente desde un enlace firmado, sin pasar por emitir()</t>
        </is>
      </c>
    </row>
    <row r="98" ht="34.5" customHeight="1" s="36">
      <c r="A98" s="67" t="inlineStr">
        <is>
          <t>DEC-149</t>
        </is>
      </c>
      <c r="B98" s="68" t="inlineStr">
        <is>
          <t>Decidida</t>
        </is>
      </c>
      <c r="C98" s="68" t="n"/>
      <c r="D98" s="69" t="inlineStr">
        <is>
          <t>Se trabaja en main hasta que haya produccion.</t>
        </is>
      </c>
      <c r="E98" s="69" t="inlineStr">
        <is>
          <t>8.8</t>
        </is>
      </c>
      <c r="F98" s="69" t="inlineStr">
        <is>
          <t>La pregunta fue suya y era la correcta: *«no entiendo el sentido de tener varias ramas si al final haremos merge»*. Medido en el repositorio: main (4.9) -- 5.9 -- 7.6 -- 7.6b -- 7.7 -- 8.1 -- 8.1-8.7 -- 8.8 es una linea recta; nunca hubo dos cosas a la vez. Las tres ramas no eran tres caminos sino tres nombres sobre el mismo camino, y dos apuntaban a puntos ya superados --feat/5.9-4.1-enlace-contrasena es el PADRE de la rama de 7.6, comprobado, no supuesto--. De las cinco cosas para las que sirve una rama, hoy no aplica ninguna: un solo desarrollador, ninguna revision externa, nada desplegado, y el CI que podria opinar antes ya lo hace php tools/diagnostico.php en la maquina. Y el coste si se pagaba: la rama que existia para proteger main lo dejo nueve iteraciones obsoleto, o sea mintiendo a quien clonara. Eso es la ceremonia sin ninguno de los beneficios. Lo que sustituye a la rama no es la confianza, son las seis puertas: no se commitea en rojo. Se revierte el dia que haya produccion, y entonces una rama por iteracion fusionada el mismo dia; lo que no se repite nunca es la rama larga que acumula iteraciones, que no es una rama sino un main con otro nombre. De paso, develop sale del on: push del CI: esa rama no ha existido jamas, y CONTRIBUTING.md la nombraba desde el principio</t>
        </is>
      </c>
    </row>
    <row r="99" ht="57" customHeight="1" s="36">
      <c r="A99" s="67" t="inlineStr">
        <is>
          <t>DEC-148</t>
        </is>
      </c>
      <c r="B99" s="68" t="inlineStr">
        <is>
          <t>Decidida</t>
        </is>
      </c>
      <c r="C99" s="68" t="n"/>
      <c r="D99" s="69" t="inlineStr">
        <is>
          <t>El entregable caido tiene estado propio, y expired pasa a llamarse fulfilled.</t>
        </is>
      </c>
      <c r="E99" s="69" t="inlineStr">
        <is>
          <t>8.8</t>
        </is>
      </c>
      <c r="F99" s="69" t="inlineStr">
        <is>
          <t>Devolver el entregable a published bastaba para que no cobre, y estaba mal: published significa «esperando a que alguien lo mire» y el dia que F9 construya esa cola meteria incumplimientos dentro --un estado que significa dos cosas es el fallo de T-50--. ck_del_status gana removed, y los dos disparadores que definen «entregable cerrado» lo tratan como cerrado; sin eso se le podria subir una version nueva encima o emitir un veredicto sobre el, y el incumplimiento se disolveria solo. Aparte: ck_pub_status tenia expired desde 2.12 con CERO filas y con un nombre que se lee al reves de lo que significa --la ventana cumplida es lo BUENO, es lo que habilita el pago-- asi que se renombra ahora, que no cuesta nada; con mil filas habria costado una migracion de datos y una discusion. De paso, permanence_checks entra en la lista de 3.12: el criterio de T-16 la incluia desde el primer dia --la fila es evidencia y de ella depende dinero-- y nadie la habia mirado</t>
        </is>
      </c>
    </row>
    <row r="100" ht="34.5" customHeight="1" s="36">
      <c r="A100" s="67" t="inlineStr">
        <is>
          <t>DEC-147</t>
        </is>
      </c>
      <c r="B100" s="68" t="inlineStr">
        <is>
          <t>Decidida</t>
        </is>
      </c>
      <c r="C100" s="68" t="n"/>
      <c r="D100" s="69" t="inlineStr">
        <is>
          <t>Se avisa al creador y al equipo; al cliente no.</t>
        </is>
      </c>
      <c r="E100" s="69" t="inlineStr">
        <is>
          <t>8.8</t>
        </is>
      </c>
      <c r="F100" s="69" t="inlineStr">
        <is>
          <t>El creador tiene algo que hacer --reponer el post, decir que la cuenta se puso privada, o decir que lo bajo-- y el equipo lo ve en su bandeja sin que nadie le mande nada. El cliente no se entera hasta que hay algo confirmado: avisarle de un falso positivo cuesta mas que el propio incidente. El correo no dice «incumpliste», dice «no lo encontramos», y dice expresamente que el pago esta en pausa: enterarse de eso cuando no llega el dinero es peor que enterarse ahora</t>
        </is>
      </c>
    </row>
    <row r="101" ht="34.5" customHeight="1" s="36">
      <c r="A101" s="67" t="inlineStr">
        <is>
          <t>DEC-146</t>
        </is>
      </c>
      <c r="B101" s="68" t="inlineStr">
        <is>
          <t>Decidida</t>
        </is>
      </c>
      <c r="C101" s="68" t="n"/>
      <c r="D101" s="69" t="inlineStr">
        <is>
          <t>La sonda marca; una persona confirma.</t>
        </is>
      </c>
      <c r="E101" s="69" t="inlineStr">
        <is>
          <t>8.8</t>
        </is>
      </c>
      <c r="F101" s="69" t="inlineStr">
        <is>
          <t>Es DEC-142 otra vez y por lo mismo --Instagram y TikTok responden igual ante un post borrado, un perfil en privado y un bloqueo geografico-- pero aqui duele mas: en 8.7 un falso negativo retrasa una verificacion, aqui acusa a un creador de incumplir un contrato. Asi que Permanencia::anotar() archiva la comprobacion y no toca publications, y lo que mueve una publicacion a removed es una persona con tg_pub_permanencia exigiendole DOS cosas: una comprobacion con is_live = 0 y una captura tomada DESPUES de haber verificado el post. La segunda condicion es la que costo pensar: la captura vieja probo que el post existia, y reutilizarla como prueba de que ya no esta seria archivar lo contrario de lo que ensena. El comando permanencia:vigilar no sale a Internet: cierra ventanas cumplidas --comparar una fecha con el calendario si lo puede hacer solo, y es lo que habilita el pago-- y cuenta las desatendidas. La comprobacion automatica buena son las APIs oficiales, que son F12</t>
        </is>
      </c>
    </row>
    <row r="102" ht="57" customHeight="1" s="36">
      <c r="A102" s="67" t="inlineStr">
        <is>
          <t>DEC-145</t>
        </is>
      </c>
      <c r="B102" s="68" t="inlineStr">
        <is>
          <t>Decidida</t>
        </is>
      </c>
      <c r="C102" s="68" t="n"/>
      <c r="D102" s="69" t="inlineStr">
        <is>
          <t>Retirar el post antes de tiempo BLOQUEA el pago, y el sistema no descuenta nada.</t>
        </is>
      </c>
      <c r="E102" s="69" t="inlineStr">
        <is>
          <t>8.8</t>
        </is>
      </c>
      <c r="F102" s="69" t="inlineStr">
        <is>
          <t>BR-CONTENT-006 decia que el sistema alerta y no decia nada del dinero, que es donde deja de ser tecnico. Las otras dos opciones se descartaron: el descuento proporcional automatico exige que el contrato lo diga por escrito Y que la deteccion sea fiable --y lo segundo hoy no se cumple, ver DEC-146--; solo alertar deja al cliente sin palanca, porque el post se retira, se cobra igual y la unica consecuencia es un correo. Lo que hace: la publicacion pasa a removed con motivo, firma y fecha; el entregable pasa a removed --sale de verified, que es de donde F9 va a pagar--; y ahi se para. La decision de que se le paga la toma una persona con el expediente montado delante. test_firmar_la_caida_para_el_pago_y_no_descuenta_nada afirma las DOS mitades: que el entregable sale de verificado y que el importe acordado sigue intacto. La segunda es la que impide que alguien «mejore» esto manana metiendo una regla de tres</t>
        </is>
      </c>
    </row>
    <row r="103" ht="68.25" customHeight="1" s="36">
      <c r="A103" s="67" t="inlineStr">
        <is>
          <t>DEC-144</t>
        </is>
      </c>
      <c r="B103" s="68" t="inlineStr">
        <is>
          <t>Decidida</t>
        </is>
      </c>
      <c r="C103" s="68" t="n"/>
      <c r="D103" s="69" t="inlineStr">
        <is>
          <t>Si el post no esta, el entregable vuelve al CREADOR, no a revision.</t>
        </is>
      </c>
      <c r="E103" s="69" t="inlineStr">
        <is>
          <t>8.7</t>
        </is>
      </c>
      <c r="F103" s="69" t="inlineStr">
        <is>
          <t>La publicacion queda rejected con su motivo y el entregable vuelve a approved. El contenido no tenia nada malo --ya se aprobo--: lo que falla es que no esta publicado, asi que lo que hay que rehacer es el ENLACE y no la pieza. Reabrir el entregable entero seria mas duro de lo necesario y dejarlo rechazado sin mas deja una campana con una pieza que nadie va a mover. Motivo de lista cerrada, como en 7.6 y 8.2, para poder contestar «.por que se caen las publicaciones?» con un numero. Y se le avisa por correo con el motivo dentro; el correo dice «no lo encontramos» y no «no publicaste», que es la diferencia que importa cuando la cuenta era privada o el enlace se copio mal. Verificar NO manda correo: no le pide nada, su parte termino</t>
        </is>
      </c>
    </row>
    <row r="104" ht="34.5" customHeight="1" s="36">
      <c r="A104" s="67" t="inlineStr">
        <is>
          <t>DEC-143</t>
        </is>
      </c>
      <c r="B104" s="68" t="inlineStr">
        <is>
          <t>Decidida</t>
        </is>
      </c>
      <c r="C104" s="68" t="n"/>
      <c r="D104" s="69" t="inlineStr">
        <is>
          <t>Verificar tiene su propio permiso, content.verify.</t>
        </is>
      </c>
      <c r="E104" s="69" t="inlineStr">
        <is>
          <t>8.7</t>
        </is>
      </c>
      <c r="F104" s="69" t="inlineStr">
        <is>
          <t>Mismo criterio que separo revisar de aprobar en 8.3: de verified cuelga el pago, asi que es una firma con dinero detras. Lo tienen campaign_manager y content_reviewer; finanzas NO, porque paga contra lo verificado y darle el permiso convertiria una comprobacion en una autoaprobacion. Se comprueba en el POST y no solo escondiendo el boton: los dos veredictos llegan por el mismo formulario</t>
        </is>
      </c>
    </row>
    <row r="105" ht="57" customHeight="1" s="36">
      <c r="A105" s="67" t="inlineStr">
        <is>
          <t>DEC-142</t>
        </is>
      </c>
      <c r="B105" s="68" t="inlineStr">
        <is>
          <t>Decidida</t>
        </is>
      </c>
      <c r="C105" s="68" t="n"/>
      <c r="D105" s="69" t="inlineStr">
        <is>
          <t>La evidencia de que un post existe es una CAPTURA, no una comprobacion HTTP.</t>
        </is>
      </c>
      <c r="E105" s="69" t="inlineStr">
        <is>
          <t>8.7</t>
        </is>
      </c>
      <c r="F105" s="69" t="inlineStr">
        <is>
          <t>Tomada con la limitacion delante: Instagram y TikTok devuelven 200 con un muro de login, 403 a todo lo que no sea un navegador, y 200 otra vez cuando el post no existe. Un http_status no distingue «el post existe» de «nos bloquearon», y BR-CONTENT-004 es 🔴 --de verified cuelga el pago--. Asi que lo que se archiva es un screenshot con file_id y tg_pub_verificada_con_evidencia lo impone en la base; la sonda HTTP se guarda como dato complementario y NO decide. Lo que si automatizaria esto son las APIs oficiales --Instagram Graph, TikTok--, que exigen app revisada por Meta y tokens del creador: semanas, y son F12; elegirlas ahora dejaria 8.7, 8.8 y el pago bloqueados hasta entonces. El dia que existan cambia la forma de capturar, no el modelo: publication_evidence ya admite api_snapshot. §56 del prompt maestro pide exactamente esto: no disenar sobre algo extremadamente fragil</t>
        </is>
      </c>
    </row>
    <row r="106" ht="34.5" customHeight="1" s="36">
      <c r="A106" s="67" t="inlineStr">
        <is>
          <t>DEC-141</t>
        </is>
      </c>
      <c r="B106" s="68" t="inlineStr">
        <is>
          <t>Decidida</t>
        </is>
      </c>
      <c r="C106" s="68" t="n"/>
      <c r="D106" s="69" t="inlineStr">
        <is>
          <t>La red se DEDUCE del enlace, y tiene que ser la del brief.</t>
        </is>
      </c>
      <c r="E106" s="69" t="inlineStr">
        <is>
          <t>8.6</t>
        </is>
      </c>
      <c r="F106" s="69" t="inlineStr">
        <is>
          <t>El brief compro un reel de Instagram; un TikTok no es eso, por bueno que sea. La red no se pregunta --un desplegable en el formulario solo sirve para que alguien elija mal, y el enlace ya lo dice--: sale de platforms.url_pattern, que es una expresion regular y vive en el catalogo desde 2.6 sin que la usara nadie. Si el enlace no es de ninguna red conocida, tampoco entra. Y la huella: uq_pub_fingerprint existe desde la Fase 2 para que dos creadores no reclamen el mismo post, y con la URL cruda no impediria nada --?utm_source=ig basta para esquivarla--. Se normaliza antes de firmar: esquema y host a minusculas, www. fuera, barra final fuera, fragmento fuera, parametros de MEDICION fuera y el resto ordenados. Lo que identifica el post no se toca: la ruta conserva mayusculas --/p/AbC y /p/abc son dos posts-- y la lista de parametros a quitar es explicita, porque youtube.com/watch?v= lleva el identificador en la query y borrar la query entera fundiria todos los videos del canal en una huella. Esa es la mitad que hace dano: rechazar un post legitimo diciendo que ya esta reclamado. La URL se guarda TAL CUAL: la huella es para comparar, no para sustituir</t>
        </is>
      </c>
    </row>
    <row r="107" ht="45.75" customHeight="1" s="36">
      <c r="A107" s="67" t="inlineStr">
        <is>
          <t>DEC-140</t>
        </is>
      </c>
      <c r="B107" s="68" t="inlineStr">
        <is>
          <t>Decidida</t>
        </is>
      </c>
      <c r="C107" s="68" t="n"/>
      <c r="D107" s="69" t="inlineStr">
        <is>
          <t>Solo se publica lo aprobado, y ESA version.</t>
        </is>
      </c>
      <c r="E107" s="69" t="inlineStr">
        <is>
          <t>8.6</t>
        </is>
      </c>
      <c r="F107" s="69" t="inlineStr">
        <is>
          <t>BR-CONTENT-002 dice que nada llega al cliente sin aprobacion interna, y registrar la publicacion de algo no aprobado es darlo por bueno a posteriori con la firma de nadie. No basta con «el entregable esta aprobado»: se guarda QUE version se publico y tiene que ser la aprobada (tg_pub_version_aprobada), porque de esta fila cuelga el pago --8.7 la verifica y 8.8 cuenta su permanencia--. publications.deliverable_version_id es un SNAPSHOT, igual que amount_snapshot en 7.6: registra lo que se publico ENTONCES y sobrevive a que el entregable se reabra y se apruebe otra version despues, asi que se guarda aunque el puntero de 8.2 diga cual es la aprobada de hoy. Su clave ajena es COMPUESTA, como la de 8.2. Detalle que la suite dice en voz alta: al INSERTAR gana el disparador --la version de otro entregable nunca puede ser la aprobada de este-- y donde la clave se ve sola es en un UPDATE, porque el disparador es BEFORE INSERT y no los mira; ahi esta su asercion, y no en un caso inventado que nunca pasa</t>
        </is>
      </c>
    </row>
    <row r="108" ht="57" customHeight="1" s="36">
      <c r="A108" s="67" t="inlineStr">
        <is>
          <t>DEC-139</t>
        </is>
      </c>
      <c r="B108" s="68" t="inlineStr">
        <is>
          <t>Decidida</t>
        </is>
      </c>
      <c r="C108" s="68" t="n"/>
      <c r="D108" s="69" t="inlineStr">
        <is>
          <t>El post lo reporta el CREADOR, y el equipo tambien puede.</t>
        </is>
      </c>
      <c r="E108" s="69" t="inlineStr">
        <is>
          <t>8.6</t>
        </is>
      </c>
      <c r="F108" s="69" t="inlineStr">
        <is>
          <t>El creador es quien lo sabe primero y quien tiene el enlace en la mano: lo pega en su portal en cuanto publica. Y el equipo puede hacerlo por el, porque el caso real existe --el enlace llega por WhatsApp y el creador no entra--. Las alternativas eran peores por el mismo motivo en direcciones opuestas: solo el equipo convierte cada publicacion en una tarea nuestra --con 150 creadores, 150 tareas que perseguir-- y solo el creador deja sin camino el caso de «me lo mando por WhatsApp». Las dos puertas pasan por el MISMO servicio y el MISMO veto; solo cambia quien firma reported_by_user_id. Una segunda puerta con sus propias reglas es una segunda puerta con sus propios agujeros</t>
        </is>
      </c>
    </row>
    <row r="109" ht="45.75" customHeight="1" s="36">
      <c r="A109" s="67" t="inlineStr">
        <is>
          <t>DEC-138</t>
        </is>
      </c>
      <c r="B109" s="68" t="inlineStr">
        <is>
          <t>Decidida</t>
        </is>
      </c>
      <c r="C109" s="68" t="n"/>
      <c r="D109" s="69" t="inlineStr">
        <is>
          <t>Un entregable aprobado se puede REABRIR, con motivo de lista cerrada y firma.</t>
        </is>
      </c>
      <c r="E109" s="69" t="inlineStr">
        <is>
          <t>8.2</t>
        </is>
      </c>
      <c r="F109" s="69" t="inlineStr">
        <is>
          <t>Con 8.3 era un callejon sin salida --ni mas veredictos ni mas versiones-- y el cliente cambia de opinion y a veces se aprueba por error: el unico camino cuando eso pasara, y va a pasar, era que alguien tocara la base a mano. Reabrir no deshace nada: es otra fila en content_reviews con outcome='reopened', su motivo y su firma, y la aprobacion anterior se queda en el historial. Misma forma que la anulacion de un perfil fiscal en 3.11, y por la misma razon: el registro tiene que contestar «.que paso?» y no solo «.como esta ahora?». El motivo es de lista cerrada para poder contestar «.por que se reabren las piezas?» con un numero --si el 70% es «se aprobo por error», el problema es la pantalla de revision y no el cliente-- y «otro» exige explicacion, porque «otro» sin explicar es la casilla que se marca para poder seguir. El permiso lo tienen los DOS roles que revisan: «se aprobo por error» lo descubre normalmente quien aprobo, y obligarle a pedirselo a otro convierte un clic en un correo --y en la practica, en que nadie lo arregle--. Reabrir no gasta ronda: la gasta pedir un cambio, y aqui todavia no se ha pedido ninguno</t>
        </is>
      </c>
    </row>
    <row r="110" ht="34.5" customHeight="1" s="36">
      <c r="A110" s="67" t="inlineStr">
        <is>
          <t>DEC-137</t>
        </is>
      </c>
      <c r="B110" s="68" t="inlineStr">
        <is>
          <t>Decidida</t>
        </is>
      </c>
      <c r="C110" s="68" t="n"/>
      <c r="D110" s="69" t="inlineStr">
        <is>
          <t>El puntero apunta a la version APROBADA, y su clave ajena es COMPUESTA.</t>
        </is>
      </c>
      <c r="E110" s="69" t="inlineStr">
        <is>
          <t>8.2</t>
        </is>
      </c>
      <c r="F110" s="69" t="inlineStr">
        <is>
          <t>«La ultima» sale de un MAX(version_number) y guardarla seria una copia que se puede desviar --el proyecto acaba de quitar una columna por eso mismo, el contador de rondas de 8.3--. La aprobada no es derivable sin recorrer content_reviews, y es el dato del que cuelgan 8.6 --se publica lo aprobado-- y 8.7 --se archiva evidencia de eso--; sin ella las dos tendrian que adivinar cual. Y ahi esta casi todo el valor: FOREIGN KEY (approved_version_id, id) REFERENCES deliverable_versions(id, deliverable_id). Una clave simple garantizaria que la version EXISTE; esta garantiza que es DE ESTE ENTREGABLE --sin la segunda columna, un UPDATE mal escrito deja el entregable de Ana apuntando a la version aprobada del de Luis y la fila sigue siendo valida--. Mismo patron que fk_ccr_market_campaign (7.3). Ademas impide borrar la version apuntada mientras siga aprobada, y ck_del_approved_version exige que aprobado y puntero vayan juntos o no vayan: un dato que a veces esta es igual de util que no tenerlo. La columna espero dos iteraciones a proposito: antes de 8.3 no habia nadie que la escribiera, y habria sido el sexto caso de una columna que existe y no tiene una sola fila</t>
        </is>
      </c>
    </row>
    <row r="111" ht="57" customHeight="1" s="36">
      <c r="A111" s="67" t="inlineStr">
        <is>
          <t>DEC-136</t>
        </is>
      </c>
      <c r="B111" s="68" t="inlineStr">
        <is>
          <t>Decidida</t>
        </is>
      </c>
      <c r="C111" s="68" t="n"/>
      <c r="D111" s="69" t="inlineStr">
        <is>
          <t>Tres permisos y no uno: revisar, aprobar y autorizar una ronda de mas.</t>
        </is>
      </c>
      <c r="E111" s="69" t="inlineStr">
        <is>
          <t>8.3</t>
        </is>
      </c>
      <c r="F111" s="69" t="inlineStr">
        <is>
          <t>content.review abre la cola y pide cambios; content.approve da el visto bueno --lo que deja el contenido listo para el cliente y, con F9, lo que dispara el pago--; content.extra_round autoriza el cargo. Mismo criterio que separo capturar de aprobar en el perfil fiscal (DEC-062). content_reviewer tiene los dos primeros y no el tercero: esa decision es de dinero --o se le cobra al cliente o se come el margen-- y quien revisa contenido no tiene por que cargar con ella; la tiene campaign_manager, que responde del margen y es quien va a tener que explicarsela al cliente. Los tres se comprueban en el POST y no solo en la ruta: los tres botones llegan por el mismo formulario, y esconder un boton no es una regla de autorizacion. Y la cola es una BANDEJA GLOBAL, no una por campana: revisar es trabajo por lotes, y una cola por campana obliga a recorrer campanas para descubrir si hay algo esperando --lo que se descubre recorriendo se descubre tarde--. Ordenada por lo que lleva mas esperando y no por lo que vence antes, que es como una cola deja a alguien esperando para siempre</t>
        </is>
      </c>
    </row>
    <row r="112" ht="45.75" customHeight="1" s="36">
      <c r="A112" s="67" t="inlineStr">
        <is>
          <t>DEC-135</t>
        </is>
      </c>
      <c r="B112" s="68" t="inlineStr">
        <is>
          <t>Decidida</t>
        </is>
      </c>
      <c r="C112" s="68" t="n"/>
      <c r="D112" s="69" t="inlineStr">
        <is>
          <t>Pasarse de las rondas incluidas se BLOQUEA y exige decidir y firmar; y el cargo NO va a campaign_costs.</t>
        </is>
      </c>
      <c r="E112" s="69" t="inlineStr">
        <is>
          <t>8.3</t>
        </is>
      </c>
      <c r="F112" s="69" t="inlineStr">
        <is>
          <t>No un aviso: un aviso que se puede saltar acaba en un cargo que se descubre al facturar, que es tarde para discutirlo con el cliente. Cuando la ronda que se va a pedir es la tercera de dos incluidas hay que decir si se cobra o se absorbe, y quien lo dice queda en authorized_by_user_id (ck_cvw_over, en la base y no solo en la pantalla). campaign_costs seria el sitio equivocado y era tentador: es lo que gastamos NOSOTROS y resta del margen (BR-FIN-011), mientras que una ronda de mas facturada al cliente es INGRESO --meterla ahi bajaria el margen de una campana que acaba de ganar dinero--. Aqui queda la decision y la pantalla de entregables la ensena como pendiente de facturar; donde acaba la linea cuando exista F9 es Q-57, y se decide con invoice_lines delante</t>
        </is>
      </c>
    </row>
    <row r="113" ht="68.25" customHeight="1" s="36">
      <c r="A113" s="67" t="inlineStr">
        <is>
          <t>DEC-134</t>
        </is>
      </c>
      <c r="B113" s="68" t="inlineStr">
        <is>
          <t>Decidida</t>
        </is>
      </c>
      <c r="C113" s="68" t="n"/>
      <c r="D113" s="69" t="inlineStr">
        <is>
          <t>Hasta 8.5, quien lleva la cuenta marca de parte de quien viene la correccion.</t>
        </is>
      </c>
      <c r="E113" s="69" t="inlineStr">
        <is>
          <t>8.3</t>
        </is>
      </c>
      <c r="F113" s="69" t="inlineStr">
        <is>
          <t>El portal del cliente es 8.5. Sin esto, en 8.3 nada consumiria ronda y el veto de «rondas agotadas» naceria muerto: el QUINTO caso de una regla escrita sobre una tabla vacia en un proyecto que ya lleva cuatro (campaign_creators en 7.4, domain_events en 4.13, invitations en 7.6, deliverables en 8.1). La salida no es inventarse el portal: es reconocer como trabaja una agencia HOY --el ejecutivo traslada el comentario del cliente y marca que es suyo--. En 8.5 el enlace firmado escribe la misma fila sin intermediario y Revisiones no se entera. Quien traslada queda anotado igual en reviewer_user_id: quien la escribio responde de ella. Y ck_cvw_firma exige usuario solo en las NUESTRAS, porque la del cliente en 8.5 no tendra cuenta detras</t>
        </is>
      </c>
    </row>
    <row r="114" ht="57" customHeight="1" s="36">
      <c r="A114" s="67" t="inlineStr">
        <is>
          <t>DEC-133</t>
        </is>
      </c>
      <c r="B114" s="68" t="inlineStr">
        <is>
          <t>Decidida</t>
        </is>
      </c>
      <c r="C114" s="68" t="n"/>
      <c r="D114" s="69" t="inlineStr">
        <is>
          <t>Solo las rondas del CLIENTE cuentan contra el precio, y son POR ENTREGABLE.</t>
        </is>
      </c>
      <c r="E114" s="69" t="inlineStr">
        <is>
          <t>8.3</t>
        </is>
      </c>
      <c r="F114" s="69" t="inlineStr">
        <is>
          <t>Dos cosas en una porque las dos las decidio la misma conversacion. (1) Que nuestro equipo le pida al creador rehacer el encuadre antes de ensenarselo a nadie es control de calidad NUESTRO; cobrarselo al cliente seria cobrarle nuestro propio error. reviewer_side distinguia platform de client desde la Fase 2 y lo que faltaba era que alguien lo usara. (2) revision_rounds_used vivia en campaign_creators --dos rondas POR CREADOR--, asi que con un creador que entrega dos reels y tres stories, dos correcciones sobre el primer reel dejaban las otras cuatro piezas sin ninguna ronda, y el cliente habia pagado dos por cada una. Baja a deliverables, que es donde se aplica la regla. Y la columna vieja se va, no se queda como suma: una suma almacenada que nadie recalcula se desvia en silencio, y la suma por creador --la que alimenta el Creator Score-- sale de content_reviews con un SUM() que nunca miente. Tenia cero filas: quitarla hoy es gratis y dentro de tres meses no</t>
        </is>
      </c>
    </row>
    <row r="115" ht="15" customHeight="1" s="36">
      <c r="A115" s="67" t="inlineStr">
        <is>
          <t>DEC-132</t>
        </is>
      </c>
      <c r="B115" s="68" t="inlineStr">
        <is>
          <t>Decidida</t>
        </is>
      </c>
      <c r="C115" s="68" t="n"/>
      <c r="D115" s="69" t="inlineStr">
        <is>
          <t>Si al caption le faltan las etiquetas del brief, NO SE ENVIA, y se le dice cuales.</t>
        </is>
      </c>
      <c r="E115" s="69" t="inlineStr">
        <is>
          <t>8.1</t>
        </is>
      </c>
      <c r="F115" s="69" t="inlineStr">
        <is>
          <t>Comprobacion objetiva y barata que ahorra una ronda de correccion entera: el creador lo arregla en diez segundos en vez de enterarse tres dias despues. Avisar y dejar pasar acaba siempre en un aviso que nadie lee; dejarlo para la revision traslada a una persona la clase de tarea que una maquina hace mejor. Sin distinguir mayusculas --#ACMEVerano y #acmeverano son el mismo hashtag para las plataformas, y rechazar por la caja seria rechazar por algo que da igual-- y devolviendo todos los motivos a la vez, porque quien entrega desde el movil prefiere una lista de tres cosas que arreglar a tres intentos</t>
        </is>
      </c>
    </row>
    <row r="116" ht="15" customHeight="1" s="36">
      <c r="A116" s="67" t="inlineStr">
        <is>
          <t>DEC-131</t>
        </is>
      </c>
      <c r="B116" s="68" t="inlineStr">
        <is>
          <t>Decidida</t>
        </is>
      </c>
      <c r="C116" s="68" t="n"/>
      <c r="D116" s="69" t="inlineStr">
        <is>
          <t>Se entrega un ENLACE externo, y opcionalmente una imagen.</t>
        </is>
      </c>
      <c r="E116" s="69" t="inlineStr">
        <is>
          <t>8.1</t>
        </is>
      </c>
      <c r="F116" s="69" t="inlineStr">
        <is>
          <t>El contenido de verdad --un reel de 80 MB-- no sube aqui y no deberia: el creador ya lo tiene en Drive o en la propia plataforma, y almacenarlo otra vez es coste y responsabilidad sin contrapartida. Se guarda el enlace, obligatoriamente https://, mas una imagen de referencia opcional por Almacen (10 MB). El https:// se comprueba en tres sitios a proposito: EntregarRequest da el mensaje junto al campo, vetoParaEntregar() lo da junto a los demas motivos, y ck_dv_url_https impide la fila venga de donde venga. Sin el tercero, un comando o un import mete javascript:alert(1) en una columna que una vista pinta dentro de un href; sin el segundo, el creador ve un 3819</t>
        </is>
      </c>
    </row>
    <row r="117" ht="15" customHeight="1" s="36">
      <c r="A117" s="67" t="inlineStr">
        <is>
          <t>DEC-130</t>
        </is>
      </c>
      <c r="B117" s="68" t="inlineStr">
        <is>
          <t>Decidida</t>
        </is>
      </c>
      <c r="C117" s="68" t="n"/>
      <c r="D117" s="69" t="inlineStr">
        <is>
          <t>El brief que se usa es el EFECTIVO, no el general.</t>
        </is>
      </c>
      <c r="E117" s="69" t="inlineStr">
        <is>
          <t>8.1</t>
        </is>
      </c>
      <c r="F117" s="69" t="inlineStr">
        <is>
          <t>Mercados::briefEfectivo(), que ya resolvia N-03: si el mercado del creador tiene brief propio, ese REEMPLAZA al general. Un creador peruano en una campana con brief especifico para Peru recibe el de Peru, y las etiquetas tambien --que es justo por lo que 7.2 dejo los hashtags fuera hasta que existieran los mercados--. Un entregable generado del brief general cuando hay uno de mercado le pide al creador lo que la campana NO quiere de el, y el error solo se ve al revisar</t>
        </is>
      </c>
    </row>
    <row r="118" ht="15" customHeight="1" s="36">
      <c r="A118" s="67" t="inlineStr">
        <is>
          <t>DEC-129</t>
        </is>
      </c>
      <c r="B118" s="68" t="inlineStr">
        <is>
          <t>Decidida</t>
        </is>
      </c>
      <c r="C118" s="68" t="n"/>
      <c r="D118" s="69" t="inlineStr">
        <is>
          <t>Los entregables se generan SOLOS al aceptar, y la generacion es idempotente.</t>
        </is>
      </c>
      <c r="E118" s="69" t="inlineStr">
        <is>
          <t>8.1</t>
        </is>
      </c>
      <c r="F118" s="69" t="inlineStr">
        <is>
          <t>El brief ya lo dice todo --cuantos, de que formato, con cuantos dias de plazo--, asi que pedirle a alguien que lo teclee otra vez por cada creador es pedirle que copie un dato que el sistema ya tiene. Lo que decide no es el ahorro sino el MODO DE FALLO: si se teclea a mano, el dia que se olvide ese creador no tiene nada que entregar y nadie se entera hasta que la campana termina sin su contenido; si se generan solos, el fallo es que sobra un entregable y se ve en la lista. Va por evento (campaign_creator.accepted --&gt; GenerarEntregables) y no dentro de aceptar(), porque Campaign no puede conocer Content: la misma frontera que se cobro el panel de 7.7. Idempotente porque aceptar dos veces no puede pasar --el enlace es de un solo uso-- pero una reanudacion de la cola o un reintento manual si, y duplicar el trabajo de un creador es la clase de error que se descubre tarde y mal</t>
        </is>
      </c>
    </row>
    <row r="119" ht="15" customHeight="1" s="36">
      <c r="A119" s="67" t="inlineStr">
        <is>
          <t>DEC-128</t>
        </is>
      </c>
      <c r="B119" s="68" t="inlineStr">
        <is>
          <t>Decidida</t>
        </is>
      </c>
      <c r="C119" s="68" t="n"/>
      <c r="D119" s="69" t="inlineStr">
        <is>
          <t>En el seguimiento, el dinero SI y el margen solo con su permiso.</t>
        </is>
      </c>
      <c r="E119" s="69" t="inlineStr">
        <is>
          <t>7.7</t>
        </is>
      </c>
      <c r="F119" s="69" t="inlineStr">
        <is>
          <t>Presupuesto, comprometido y disponible los ve quien puede ver la campana: sin esos tres numeros no se decide a quien invitar, y ponerlos detras de un permiso que entonces necesitaria todo el mundo seria un permiso que no protege nada. El margen sigue detras de campaign.view_margin (BR-FIN-007) y no se calcula y luego se esconde: no se calcula --un dato que llega a la vista es un dato que un @if mal puesto puede ensenar, y BR-SEC-001 es 🔴--. La diferencia no es sutil: lo comprometido es lo que se le paga a los creadores; el margen es lo que gana la empresa. Y el disponible se ensena NEGATIVO cuando lo es: redondearlo a cero esconderia justo el caso que hay que ver, una campana que se paso porque finanzas lo autorizo</t>
        </is>
      </c>
    </row>
    <row r="120" ht="15" customHeight="1" s="36">
      <c r="A120" s="67" t="inlineStr">
        <is>
          <t>DEC-127</t>
        </is>
      </c>
      <c r="B120" s="68" t="inlineStr">
        <is>
          <t>Decidida</t>
        </is>
      </c>
      <c r="C120" s="68" t="n"/>
      <c r="D120" s="69" t="inlineStr">
        <is>
          <t>Cuatro alertas en el panel de seguimiento, y su orden NO es por gravedad.</t>
        </is>
      </c>
      <c r="E120" s="69" t="inlineStr">
        <is>
          <t>7.7</t>
        </is>
      </c>
      <c r="F120" s="69" t="inlineStr">
        <is>
          <t>Campana sin confirmar con el arranque a menos de 14 dias, preguntas de creadores sin atender, invitaciones que caducan en menos de 12 h, y cupo de mercado sin cubrir. La de «sin confirmar» va PRIMERA porque bloquea a las demas: sin confirmar no se puede invitar a nadie, asi que un cupo corto ahi no se arregla reclutando. Y las preguntas van antes que las invitaciones urgentes porque un creador que pregunto y no recibe respuesta MIENTRAS su plazo corre es la combinacion exacta que convierte un si en un silencio. Cada alerta dice que pasa y que hacer: una que solo dice que hay un problema obliga a buscarlo, y entonces deja de leerse. Y «cubierto» es ACEPTADO, no invitado: una invitacion sin contestar es una plaza esperando, y contarla como cubierta es como se llega al dia de arranque con la mitad del equipo y los numeros en verde</t>
        </is>
      </c>
    </row>
    <row r="121" ht="15" customHeight="1" s="36">
      <c r="A121" s="67" t="inlineStr">
        <is>
          <t>DEC-126</t>
        </is>
      </c>
      <c r="B121" s="68" t="inlineStr">
        <is>
          <t>Decidida</t>
        </is>
      </c>
      <c r="C121" s="68" t="n"/>
      <c r="D121" s="69" t="inlineStr">
        <is>
          <t>usuarios:crear deja de teclear la contrasena; el alta interna usa el mismo enlace de 72 h que la del creador.</t>
        </is>
      </c>
      <c r="E121" s="69" t="inlineStr">
        <is>
          <t>7.6b</t>
        </is>
      </c>
      <c r="F121" s="69" t="inlineStr">
        <is>
          <t>Cierra BR-SEC-004 (🔴) del todo. must_change_password era el parche: obligaba a cambiarla DESPUES y dejaba una ventana --de minutos o de meses-- en la que dos personas conocian la credencial, y justo en las cuentas donde la base exige dos personas distintas para el dinero. Ahora no hay ventana: la contrasena no existe hasta que la escribe su dueno. usuarios:contrasena --enlace hace lo mismo para reponer y no toca la contrasena actual --si el correo no llega, la persona no se queda peor de como estaba--. Teclearla a mano sigue existiendo a proposito, como cristal de emergencia para cuando el correo no sale (Q-20), y el comando avisa cada vez de que ese es el camino excepcional</t>
        </is>
      </c>
    </row>
    <row r="122" ht="15" customHeight="1" s="36">
      <c r="A122" s="67" t="inlineStr">
        <is>
          <t>DEC-125</t>
        </is>
      </c>
      <c r="B122" s="68" t="inlineStr">
        <is>
          <t>Decidida</t>
        </is>
      </c>
      <c r="C122" s="68" t="n"/>
      <c r="D122" s="69" t="inlineStr">
        <is>
          <t>Cuando un creador contesta, se avisa a QUIEN LE INVITO y a nadie mas.</t>
        </is>
      </c>
      <c r="E122" s="69" t="inlineStr">
        <is>
          <t>7.6b</t>
        </is>
      </c>
      <c r="F122" s="69" t="inlineStr">
        <is>
          <t>Es quien espera la respuesta y quien va a hacer algo con ella. Avisar a todo el equipo son cuarenta correos por campana a cada uno, y un buzon asi se filtra a una carpeta y deja de leerse --la forma cara de no avisar a nadie--. El precio, dicho: una invitacion mandada por alguien que luego se va de la empresa queda MUDA. A una cuenta desactivada no se le escribe: no avisa a nadie y puede acabar en un buzon reasignado. El hecho no se pierde, queda en domain_events y se ve en la lista</t>
        </is>
      </c>
    </row>
    <row r="123" ht="15" customHeight="1" s="36">
      <c r="A123" s="67" t="inlineStr">
        <is>
          <t>DEC-124</t>
        </is>
      </c>
      <c r="B123" s="68" t="inlineStr">
        <is>
          <t>Decidida</t>
        </is>
      </c>
      <c r="C123" s="68" t="n"/>
      <c r="D123" s="69" t="inlineStr">
        <is>
          <t>Preguntar NO mueve el plazo de la invitacion.</t>
        </is>
      </c>
      <c r="E123" s="69" t="inlineStr">
        <is>
          <t>7.6b</t>
        </is>
      </c>
      <c r="F123" s="69" t="inlineStr">
        <is>
          <t>La alternativa --congelarla hasta que alguien conteste-- deja el importe comprometido para siempre si nadie contesta, que es justo el agujero que invitaciones:caducar existe para tapar. La pantalla se lo dice al creador con todas las letras: callarlo dejaria a alguien esperando tranquilo mientras su invitacion caduca, que es peor que no dejarle preguntar. Quien invito ve la pregunta en la lista de candidatos y decide; si hace falta mas tiempo, anula y manda otra. Y no hay respuesta dentro de la aplicacion: el equipo contesta por correo, que es donde el creador ya esta. Un hilo de ida y vuelta es un modulo de mensajeria --notificaciones, no leidos, permisos-- y habria multiplicado por tres la iteracion para resolver lo que un boton de «Responder» ya resuelve. Lo que si hay es un DUENO: «me hago cargo» marca quien atiende y el segundo clic no pisa al primero</t>
        </is>
      </c>
    </row>
    <row r="124" ht="15" customHeight="1" s="36">
      <c r="A124" s="67" t="inlineStr">
        <is>
          <t>DEC-123</t>
        </is>
      </c>
      <c r="B124" s="68" t="inlineStr">
        <is>
          <t>Decidida</t>
        </is>
      </c>
      <c r="C124" s="68" t="n"/>
      <c r="D124" s="69" t="inlineStr">
        <is>
          <t>Pedir un correo se hace desde Shared, no desde el modulo que lo necesita.</t>
        </is>
      </c>
      <c r="E124" s="69" t="inlineStr">
        <is>
          <t>7.6</t>
        </is>
      </c>
      <c r="F124" s="69" t="inlineStr">
        <is>
          <t>deptrac.yaml dice Communication: [Framework, Shared, Core, Identity]. En 5.9 el evento del enlace vivio una iteracion dentro de Identity y funciono de milagro: Identity esta en esa lista. Campaign no, y 7.6 necesita mandar un correo igual. Sube a App\Shared\Eventos\CorreoPedido con un solo oyente en Communication: cualquier modulo puede pedir un correo, ninguno conoce a Communication y Communication no conoce a ninguno. No es EventoOcurrido y no puede serlo --ese persiste su payload en domain_events y aqui el payload lleva el token en claro--; el HECHO si se registra, por separado y sin el token</t>
        </is>
      </c>
    </row>
    <row r="125" ht="15" customHeight="1" s="36">
      <c r="A125" s="67" t="inlineStr">
        <is>
          <t>DEC-122</t>
        </is>
      </c>
      <c r="B125" s="68" t="inlineStr">
        <is>
          <t>Decidida</t>
        </is>
      </c>
      <c r="C125" s="68" t="n"/>
      <c r="D125" s="69" t="inlineStr">
        <is>
          <t>La invitacion COPIA el importe con el que salio, y el importe no se mueve mientras este viva.</t>
        </is>
      </c>
      <c r="E125" s="69" t="inlineStr">
        <is>
          <t>7.6</t>
        </is>
      </c>
      <c r="F125" s="69" t="inlineStr">
        <is>
          <t>BR-CREATOR-008 congela el precio al ACEPTAR (tg_ccr_compromiso, 7.5) y entre el envio y la respuesta agreed_amount se podia mover: al creador le llegaba «te pagamos 1.500», alguien lo bajaba a 900, y aceptaba 900 sin haberlo visto nunca. No hace falta mala fe; basta con dos personas sobre la misma campana. Se cierra por los dos lados: amount_snapshot --misma decision que payment_term_days_snapshot y billing_legal_entity_id-- y tg_ccr_monto_con_invitacion, que obliga a anular la invitacion antes de renegociar. Y como en 5.9, responder y anular son dos columnas: responded_at tiene que contestar «.llego a contestar?» sin ambiguedad. Decimocuarta columna puerta del esquema</t>
        </is>
      </c>
    </row>
    <row r="126" ht="15" customHeight="1" s="36">
      <c r="A126" s="67" t="inlineStr">
        <is>
          <t>DEC-121</t>
        </is>
      </c>
      <c r="B126" s="68" t="inlineStr">
        <is>
          <t>Decidida</t>
        </is>
      </c>
      <c r="C126" s="68" t="n"/>
      <c r="D126" s="69" t="inlineStr">
        <is>
          <t>Rechazar no cierra la campana para ese creador, y quedan las DOS rondas.</t>
        </is>
      </c>
      <c r="E126" s="69" t="inlineStr">
        <is>
          <t>7.6</t>
        </is>
      </c>
      <c r="F126" s="69" t="inlineStr">
        <is>
          <t>Pasa de verdad: rechaza por el importe, finanzas sube el presupuesto, se vuelve a preguntar. Prohibirlo obligaria a renegociar fuera del sistema. La constancia vive en invitations --una fila por ronda, con su motivo y con lo que se ofrecio entonces--, que es justo para lo que la Fase 2 diseno la tabla («cuantas veces hubo que insistir alimenta el Creator Score»). Lo que si se limpia al reinvitar es campaign_creators.declined_at: esa columna dice cuando se rechazo la ronda ACTUAL, y dejarla puesta haria que un accepted conviviera con una fecha de rechazo. El motivo es de lista cerrada para poder contestar «.por que nos dicen que no?» --si el 70% es el importe, el problema es el presupuesto y no el reclutamiento-- y no decide quien se puede reinvitar</t>
        </is>
      </c>
    </row>
    <row r="127" ht="15" customHeight="1" s="36">
      <c r="A127" s="67" t="inlineStr">
        <is>
          <t>DEC-120</t>
        </is>
      </c>
      <c r="B127" s="68" t="inlineStr">
        <is>
          <t>Decidida</t>
        </is>
      </c>
      <c r="C127" s="68" t="n"/>
      <c r="D127" s="69" t="inlineStr">
        <is>
          <t>El plazo para contestar vive en la CAMPANA, no en cada invitacion.</t>
        </is>
      </c>
      <c r="E127" s="69" t="inlineStr">
        <is>
          <t>7.6</t>
        </is>
      </c>
      <c r="F127" s="69" t="inlineStr">
        <is>
          <t>campaigns.invitation_hours, 72 por omision, entre 1 hora y 30 dias (ck_camp_invitation_hours). Un solo numero que explicar y un solo sitio donde cambiarlo; por invitacion seria un dato que hay que decidir cuarenta veces y que nadie mira dos. Y caducar necesita un comando aunque la caducidad se deduzca: expires_at contra el reloj ya impide contestar, pero la participacion seguiria en invited para siempre, su importe seguiria contando contra el presupuesto (BR-CAMPAIGN-005 bloqueando a otros por dinero que nadie se va a gastar) y el cupo del mercado no se liberaria. invitaciones:caducar cada diez minutos: el plazo minimo es una hora, asi que diez minutos deja el retraso maximo en un 17% del plazo mas corto posible</t>
        </is>
      </c>
    </row>
    <row r="128" ht="23.25" customHeight="1" s="36">
      <c r="A128" s="67" t="inlineStr">
        <is>
          <t>DEC-119</t>
        </is>
      </c>
      <c r="B128" s="68" t="inlineStr">
        <is>
          <t>Decidida</t>
        </is>
      </c>
      <c r="C128" s="68" t="n"/>
      <c r="D128" s="69" t="inlineStr">
        <is>
          <t>El creador contesta la invitacion EL MISMO, por enlace.</t>
        </is>
      </c>
      <c r="E128" s="69" t="inlineStr">
        <is>
          <t>7.6</t>
        </is>
      </c>
      <c r="F128" s="69" t="inlineStr">
        <is>
          <t>Su portal (F6) sigue bloqueado por T-09, asi que no hay pantalla donde entre a decidir. La alternativa era que un operador tecleara «dijo que si por WhatsApp», y eso convierte una ACEPTACION --de la que sale lo que se le paga a una persona-- en la palabra de un tercero. Con enlace hay una IP, una hora y un token que solo el tenia. Y no habia que construir nada: es la pieza de 5.9, ya probada. invitations.channel admite otros canales desde la Fase 2; el dia que exista el de WhatsApp, la fila ya sabe distinguirlo</t>
        </is>
      </c>
    </row>
    <row r="129" ht="15" customHeight="1" s="36">
      <c r="A129" s="67" t="inlineStr">
        <is>
          <t>DEC-118</t>
        </is>
      </c>
      <c r="B129" s="68" t="inlineStr">
        <is>
          <t>Decidida</t>
        </is>
      </c>
      <c r="C129" s="68" t="n"/>
      <c r="D129" s="69" t="inlineStr">
        <is>
          <t>La portada se bifurca por TIPO DE USUARIO, y SESSION_DRIVER=database pasa a ser requisito de seguridad.</t>
        </is>
      </c>
      <c r="E129" s="69" t="inlineStr">
        <is>
          <t>5.9 + 4.1</t>
        </is>
      </c>
      <c r="F129" s="69" t="inlineStr">
        <is>
          <t>Dos consecuencias de la misma causa: 5.9 crea la primera cuenta que no es del equipo. (a) /panel ensenaba a cualquier autenticado los totales de creadores, clientes y campanas mas el inventario del esquema; nadie lo habia pensado porque hasta hoy todos los usuarios eran internos. Se bifurca por user_type y no por permiso --un creador no tiene ninguno, y comprobar permisos que dicen «no» a todo deja una pantalla vacia en vez de una que explica donde esta--. (b) Poner una contrasena nueva borra las filas de sessions de ese usuario y rota remember_token; con SESSION_DRIVER=file lo primero es imposible --no hay forma de saber que archivo es de quien-- y una contrasena nueva convivira con la sesion abierta de quien entro con la vieja, que es no haber hecho nada</t>
        </is>
      </c>
    </row>
    <row r="130" ht="15" customHeight="1" s="36">
      <c r="A130" s="67" t="inlineStr">
        <is>
          <t>DEC-117</t>
        </is>
      </c>
      <c r="B130" s="68" t="inlineStr">
        <is>
          <t>Decidida</t>
        </is>
      </c>
      <c r="C130" s="68" t="n"/>
      <c r="D130" s="69" t="inlineStr">
        <is>
          <t>El token no se queda en la barra de direcciones.</t>
        </is>
      </c>
      <c r="E130" s="69" t="inlineStr">
        <is>
          <t>5.9 + 4.1</t>
        </is>
      </c>
      <c r="F130" s="69" t="inlineStr">
        <is>
          <t>El enlace del correo lo lleva --no hay otra forma--, pero esa ruta solo lo guarda en la sesion y redirige a una URL sin el. Una URL con un token dentro viaja en la cabecera Referer a cualquier recurso externo de la pagina --y estas pantallas cargan tipografias de un dominio de terceros--, se queda en el registro de accesos del servidor y en el historial, y se copia entera cuando alguien la pega en un chat preguntando que es. Al guardarlo la sesion se vacia y renueva (invalidate(), no regenerate(): el segundo cambia el identificador y conserva el contenido, y aqui el contenido es lo que sobra)</t>
        </is>
      </c>
    </row>
    <row r="131" ht="15" customHeight="1" s="36">
      <c r="A131" s="67" t="inlineStr">
        <is>
          <t>DEC-116</t>
        </is>
      </c>
      <c r="B131" s="68" t="inlineStr">
        <is>
          <t>Decidida</t>
        </is>
      </c>
      <c r="C131" s="68" t="n"/>
      <c r="D131" s="69" t="inlineStr">
        <is>
          <t>Un enlace nuevo invalida el anterior, y usar uno mata todos los demas.</t>
        </is>
      </c>
      <c r="E131" s="69" t="inlineStr">
        <is>
          <t>5.9 + 4.1</t>
        </is>
      </c>
      <c r="F131" s="69" t="inlineStr">
        <is>
          <t>Quien pide otro suele hacerlo porque sospecha del primero; dejarlo vivo seria dejar abierta justo la puerta que queria cerrar. Lo garantiza la BASE con la decimotercera columna puerta (uq_pl_vigente), no el servicio. Y revocar no es marcar usado: son dos columnas a proposito, porque el dia que alguien pregunte «.llego a usar el enlace?» la respuesta tiene que salir de una columna que solo se escribe cuando lo uso. La primera version de la tabla las mezclaba --una columna menos-- y ademas chocaba con ck_pl_used, que exige la IP de quien lo usa: a un enlace que sustituyes no le puedes poner una IP. Caducar no se escribe: se deduce de expires_at</t>
        </is>
      </c>
    </row>
    <row r="132" ht="23.25" customHeight="1" s="36">
      <c r="A132" s="67" t="inlineStr">
        <is>
          <t>DEC-115</t>
        </is>
      </c>
      <c r="B132" s="68" t="inlineStr">
        <is>
          <t>Decidida</t>
        </is>
      </c>
      <c r="C132" s="68" t="n"/>
      <c r="D132" s="69" t="inlineStr">
        <is>
          <t>Pedir recuperacion contesta lo mismo exista o no el correo.</t>
        </is>
      </c>
      <c r="E132" s="69" t="inlineStr">
        <is>
          <t>4.1</t>
        </is>
      </c>
      <c r="F132" s="69" t="inlineStr">
        <is>
          <t>«Si esa direccion tiene una cuenta activa, le acaba de salir un enlace», a los dos, y sin enviar nada en el segundo caso. Distinguirlos convierte la pantalla en un buscador de cuentas dadas de alta: con una lista de direcciones se sabe en un rato cuales son clientes nuestros, y eso vale dinero para quien hace phishing dirigido. El precio es real: quien se equivoca de correo no se entera, y se compensa diciendolo en la propia pantalla en vez de callarlo. La prueba lo afirma byte a byte quitando el testigo anti-CSRF: comparar solo la clave de sesion dejaria pasar una version que escribiera «no tenemos ese correo» dentro de la vista</t>
        </is>
      </c>
    </row>
    <row r="133" ht="23.25" customHeight="1" s="36">
      <c r="A133" s="67" t="inlineStr">
        <is>
          <t>DEC-114</t>
        </is>
      </c>
      <c r="B133" s="68" t="inlineStr">
        <is>
          <t>Decidida</t>
        </is>
      </c>
      <c r="C133" s="68" t="n"/>
      <c r="D133" s="69" t="inlineStr">
        <is>
          <t>De un token de contrasena se guarda la HUELLA, nunca el token.</t>
        </is>
      </c>
      <c r="E133" s="69" t="inlineStr">
        <is>
          <t>5.9 + 4.1</t>
        </is>
      </c>
      <c r="F133" s="69" t="inlineStr">
        <is>
          <t>bin2hex(random_bytes(32)) --no Str::random(), no uniqid(), no el uuid de la fila-- y en password_links solo entra su sha256. Misma decision que email_log (la huella del cuerpo, no el cuerpo) y que los medios de pago (la mascara, no el numero), y aqui es la mas importante de las tres: quien lea esta tabla no puede entrar en ninguna cuenta. Corolario que obligo a romper el patron de DEC-112: el aviso a Communication no puede ir por Eventos::ocurrio(), porque ese bus PERSISTE el payload y el payload lleva el enlace dentro. Va por un evento propio de Identity, que Communication ya tiene permitido conocer. El HECHO --«se emitio un enlace de tipo X para el usuario Y»-- si se guarda en domain_events, y sin el token</t>
        </is>
      </c>
    </row>
    <row r="134" ht="23.25" customHeight="1" s="36">
      <c r="A134" s="67" t="inlineStr">
        <is>
          <t>DEC-113</t>
        </is>
      </c>
      <c r="B134" s="68" t="inlineStr">
        <is>
          <t>Decidida</t>
        </is>
      </c>
      <c r="C134" s="68" t="n"/>
      <c r="D134" s="69" t="inlineStr">
        <is>
          <t>El enlace de alta dura 72 h; el de recuperacion, 1 h.</t>
        </is>
      </c>
      <c r="E134" s="69" t="inlineStr">
        <is>
          <t>5.9 + 4.1</t>
        </is>
      </c>
      <c r="F134" s="69" t="inlineStr">
        <is>
          <t>Son la misma pieza con dos relojes: el de alta llega SIN AVISAR y puede caer un viernes por la noche; el de recuperacion lo pide alguien que esta delante de la pantalla ahora. Un solo plazo obligaria a elegir entre dejar la ventana larga del alta valiendo para recuperar, o darle una hora a quien no sabia que iba a recibir nada. La caducidad se guarda en la fila, no es una constante global: un enlace sabe cuando muere</t>
        </is>
      </c>
    </row>
    <row r="135" ht="23.25" customHeight="1" s="36">
      <c r="A135" s="67" t="inlineStr">
        <is>
          <t>DEC-112</t>
        </is>
      </c>
      <c r="B135" s="68" t="inlineStr">
        <is>
          <t>Decidida</t>
        </is>
      </c>
      <c r="C135" s="68" t="n"/>
      <c r="D135" s="69" t="inlineStr">
        <is>
          <t>Los modulos se comunican por EVENTOS, no llamandose.</t>
        </is>
      </c>
      <c r="E135" s="69" t="inlineStr">
        <is>
          <t>4.13</t>
        </is>
      </c>
      <c r="F135" s="69" t="inlineStr">
        <is>
          <t>deptrac.yaml no deja que Creator conozca Communication ni al reves, y no es burocracia: si Creator importara Communication, un SMTP caido podria tumbar la captura de un dato fiscal. App\Shared\Eventos estrena domain_events --disenada en 2.4 y sin una sola fila hasta hoy-- y reparte asi: Creator levanta un nombre y un array, Communication recibe un nombre y un array, y ninguno importa al otro. El hecho se GUARDA antes de despachar, para que conste aunque el oyente reviente. Y no es la bitacora: Bitacora responde «quien toco que y que cambio» y es evidencia; esto responde «que paso, para que otros reaccionen» y dispara trabajo</t>
        </is>
      </c>
    </row>
    <row r="136" ht="23.25" customHeight="1" s="36">
      <c r="A136" s="67" t="inlineStr">
        <is>
          <t>DEC-111</t>
        </is>
      </c>
      <c r="B136" s="68" t="inlineStr">
        <is>
          <t>Decidida</t>
        </is>
      </c>
      <c r="C136" s="68" t="n"/>
      <c r="D136" s="69" t="inlineStr">
        <is>
          <t>Si el aviso no se puede enviar, el cambio sigue adelante.</t>
        </is>
      </c>
      <c r="E136" s="69" t="inlineStr">
        <is>
          <t>4.13</t>
        </is>
      </c>
      <c r="F136" s="69" t="inlineStr">
        <is>
          <t>Bloquear la captura de un dato fiscal porque un SMTP se cayo convierte un problema de infraestructura en un creador al que no se le puede corregir un dato. Pero el fallo NO se traga: si el correo se encolo aparece en /correos como failed con su motivo, y si ni siquiera se pudo encolar --no hay plantilla, que es un fallo de configuracion-- se registra con report() y queda la fila de domain_events diciendo que el hecho ocurrio sin que saliera aviso</t>
        </is>
      </c>
    </row>
    <row r="137" ht="23.25" customHeight="1" s="36">
      <c r="A137" s="67" t="inlineStr">
        <is>
          <t>DEC-110</t>
        </is>
      </c>
      <c r="B137" s="68" t="inlineStr">
        <is>
          <t>Decidida</t>
        </is>
      </c>
      <c r="C137" s="68" t="n"/>
      <c r="D137" s="69" t="inlineStr">
        <is>
          <t>El correo de aviso NO lleva el dato dentro.</t>
        </is>
      </c>
      <c r="E137" s="69" t="inlineStr">
        <is>
          <t>4.13</t>
        </is>
      </c>
      <c r="F137" s="69" t="inlineStr">
        <is>
          <t>«Alguien registro un cambio en sus datos de pago; si no ha sido usted, respondanos.» Sin numero, sin banco, sin regimen, sin RUC. Un correo se lee en pantallas ajenas, se reenvia y se queda en buzones que no controlamos --y el escenario del que nos defendemos es precisamente que alguien tenga acceso a ese buzon--. Para decir «yo no fui» no hace falta ver el numero. Misma regla que ya gobierna la bitacora (la mascara, nunca el numero) y email_log (la huella, nunca el cuerpo)</t>
        </is>
      </c>
    </row>
    <row r="138" ht="34.5" customHeight="1" s="36">
      <c r="A138" s="67" t="inlineStr">
        <is>
          <t>DEC-109</t>
        </is>
      </c>
      <c r="B138" s="68" t="inlineStr">
        <is>
          <t>Decidida</t>
        </is>
      </c>
      <c r="C138" s="68" t="n"/>
      <c r="D138" s="69" t="inlineStr">
        <is>
          <t>El aviso de cambio sensible sale al CAPTURAR, no al aprobar.</t>
        </is>
      </c>
      <c r="E138" s="69" t="inlineStr">
        <is>
          <t>4.13</t>
        </is>
      </c>
      <c r="F138" s="69" t="inlineStr">
        <is>
          <t>Es lo unico que le da al creador margen para decir «yo no fui» mientras el cambio todavia se puede parar. Avisar despues de aprobarlo es contarle un hecho consumado: si alguien suplanto su cuenta bancaria, el dinero ya va camino de otro sitio. Hay prueba dedicada: el aviso sale con el perfil todavia en pending</t>
        </is>
      </c>
    </row>
    <row r="139" ht="23.25" customHeight="1" s="36">
      <c r="A139" s="67" t="inlineStr">
        <is>
          <t>DEC-108</t>
        </is>
      </c>
      <c r="B139" s="68" t="inlineStr">
        <is>
          <t>Decidida</t>
        </is>
      </c>
      <c r="C139" s="68" t="n"/>
      <c r="D139" s="69" t="inlineStr">
        <is>
          <t>Tres intentos espaciados (1, 5 y 15 minutos) y luego failed VISIBLE.</t>
        </is>
      </c>
      <c r="E139" s="69" t="inlineStr">
        <is>
          <t>4.9</t>
        </is>
      </c>
      <c r="F139" s="69" t="inlineStr">
        <is>
          <t>Cubre la caida pasajera del proveedor sin insistir eternamente sobre una direccion que no existe, que es la causa mas comun. ck_el_failed exige en la BASE que un fallido lleve cuando fallo Y por que: un failed sin motivo obliga a mirar el log del servidor, que es exactamente lo que esta tabla existe para evitar. Y la pantalla abre FILTRADA POR FALLIDOS, porque el modo de fallo que importa --«al creador no le llego su enlace»-- lo descubre operaciones, no un desarrollador leyendo storage/logs</t>
        </is>
      </c>
    </row>
    <row r="140" ht="23.25" customHeight="1" s="36">
      <c r="A140" s="67" t="inlineStr">
        <is>
          <t>DEC-107</t>
        </is>
      </c>
      <c r="B140" s="68" t="inlineStr">
        <is>
          <t>Decidida</t>
        </is>
      </c>
      <c r="C140" s="68" t="n"/>
      <c r="D140" s="69" t="inlineStr">
        <is>
          <t>Sin plantilla en el idioma del destinatario se cae al de por defecto, y se ANOTA.</t>
        </is>
      </c>
      <c r="E140" s="69" t="inlineStr">
        <is>
          <t>4.9</t>
        </is>
      </c>
      <c r="F140" s="69" t="inlineStr">
        <is>
          <t>Un aviso que no llega es peor que uno en el idioma equivocado. Lo que hace que no sea una chapuza es la segunda mitad: email_log guarda locale_requested junto a template_locale, asi que «que plantillas faltan por traducir» es una consulta sobre envios reales, y sale en la pantalla como lo unico que pide una accion. Sin eso la caida seria silenciosa y nadie se enteraria nunca de que el portugues no existe. pt-BR cae antes a pt que a es: es una caida mucho mas pequena y son dos lineas</t>
        </is>
      </c>
    </row>
    <row r="141" ht="34.5" customHeight="1" s="36">
      <c r="A141" s="67" t="inlineStr">
        <is>
          <t>DEC-106</t>
        </is>
      </c>
      <c r="B141" s="68" t="inlineStr">
        <is>
          <t>Decidida</t>
        </is>
      </c>
      <c r="C141" s="68" t="n"/>
      <c r="D141" s="69" t="inlineStr">
        <is>
          <t>Del correo enviado se guarda la HUELLA del cuerpo, no el cuerpo.</t>
        </is>
      </c>
      <c r="E141" s="69" t="inlineStr">
        <is>
          <t>4.9</t>
        </is>
      </c>
      <c r="F141" s="69" t="inlineStr">
        <is>
          <t>email_log guarda plantilla, version, idioma, asunto y body_sha256. El cuerpo lleva el nombre de la persona, a veces importes y a veces datos fiscales: guardarlo convierte esa tabla en una SEGUNDA COPIA de la ficha del creador, que hay que proteger, anonimizar y borrar igual que la primera. Y no se pierde nada, porque la version de la plantilla es inmutable --publicar la siguiente cierra la anterior, no la edita-- y la huella demuestra que el cuerpo enviado era exactamente el que sale de renderizarla. «Me llegaron condiciones distintas» se contesta con la version y la huella. Es la regla del proyecto sobre logs, aplicada con cabeza</t>
        </is>
      </c>
    </row>
    <row r="142" ht="23.25" customHeight="1" s="36">
      <c r="A142" s="67" t="inlineStr">
        <is>
          <t>DEC-105</t>
        </is>
      </c>
      <c r="B142" s="68" t="inlineStr">
        <is>
          <t>Decidida</t>
        </is>
      </c>
      <c r="C142" s="68" t="n"/>
      <c r="D142" s="69" t="inlineStr">
        <is>
          <t>Pasarse del presupuesto de creadores se BLOQUEA, y finanzas lo autoriza dejando el motivo.</t>
        </is>
      </c>
      <c r="E142" s="69" t="inlineStr">
        <is>
          <t>7.5</t>
        </is>
      </c>
      <c r="F142" s="69" t="inlineStr">
        <is>
          <t>La regla dice «sin aprobacion explicita de un rol autorizado, que queda auditada», asi que la autorizacion es un dato de la fila: quien, cuando y por que. ck_camp_budget_override exige las tres o ninguna --una firma sin explicacion no responde «por que esta campana se paso» dentro de un ano, misma forma que ck_inv_responded--. Lo firma finanzas y no quien monto la campana (DEC-091, DEC-044), y el motivo exige al menos diez caracteres porque «porque» no es una explicacion. Lo que cuenta como comprometido son las participaciones VIVAS: un creador que rechazo no consume presupuesto, y contarlo dejaria campanas bloqueadas por dinero que nadie se va a gastar</t>
        </is>
      </c>
    </row>
    <row r="143" ht="23.25" customHeight="1" s="36">
      <c r="A143" s="67" t="inlineStr">
        <is>
          <t>DEC-104</t>
        </is>
      </c>
      <c r="B143" s="68" t="inlineStr">
        <is>
          <t>Decidida</t>
        </is>
      </c>
      <c r="C143" s="68" t="n"/>
      <c r="D143" s="69" t="inlineStr">
        <is>
          <t>El monto acordado se fija al INVITAR y se congela al ACEPTAR.</t>
        </is>
      </c>
      <c r="E143" s="69" t="inlineStr">
        <is>
          <t>7.5</t>
        </is>
      </c>
      <c r="F143" s="69" t="inlineStr">
        <is>
          <t>BR-CREATOR-008: la tarifa declarada es referencia, el precio vinculante es el monto congelado en la participacion. Se fija al invitar porque el creador no puede aceptar un numero que no ha visto --tg_ccr_compromiso impide pasar a invited con cero-- y se congela al aceptar porque a partir de ahi es un acuerdo entre dos partes. Congelarlo ya en la invitacion obligaria a cancelar y rehacerla por un dedazo, llenando el historico de invitaciones canceladas que no se cancelaron por negocio: mismo argumento que DEC-090. Excepcion coherente con 7.2: en una campana declarada gratuita si se invita con cero</t>
        </is>
      </c>
    </row>
    <row r="144" ht="23.25" customHeight="1" s="36">
      <c r="A144" s="67" t="inlineStr">
        <is>
          <t>DEC-103</t>
        </is>
      </c>
      <c r="B144" s="68" t="inlineStr">
        <is>
          <t>Decidida</t>
        </is>
      </c>
      <c r="C144" s="68" t="n"/>
      <c r="D144" s="69" t="inlineStr">
        <is>
          <t>«2 reels» en el brief es lo que entrega CADA creador, no el total de la campana.</t>
        </is>
      </c>
      <c r="E144" s="69" t="inlineStr">
        <is>
          <t>7.5</t>
        </is>
      </c>
      <c r="F144" s="69" t="inlineStr">
        <is>
          <t>El brief es lo que se le dice a UNA persona; cuantos creadores hay lo dice target_creators de cada mercado (7.3). La alternativa --repartir un total entre los seleccionados-- obliga a decidir quien entrega que y a recalcular cada vez que alguien entra o sale, y un creador no sabria que acepta hasta que la lista este cerrada. Ademas confirma lo ya construido: el coste estimado de 7.4 ya multiplicaba tarifa por cantidad</t>
        </is>
      </c>
    </row>
    <row r="145" ht="23.25" customHeight="1" s="36">
      <c r="A145" s="67" t="inlineStr">
        <is>
          <t>DEC-102</t>
        </is>
      </c>
      <c r="B145" s="68" t="inlineStr">
        <is>
          <t>Decidida</t>
        </is>
      </c>
      <c r="C145" s="68" t="n"/>
      <c r="D145" s="69" t="inlineStr">
        <is>
          <t>Nadie entra en una campana cerrada, y una participacion que ya estaba solo se puede cancelar.</t>
        </is>
      </c>
      <c r="E145" s="69" t="inlineStr">
        <is>
          <t>7.4</t>
        </is>
      </c>
      <c r="F145" s="69" t="inlineStr">
        <is>
          <t>campaign_creators existia desde la Fase 2 y hasta 7.4 nadie habia escrito una fila; en cuanto se escribe la primera aparece el hueco. Una participacion en una campana terminada devenga en el ledger (9.3) contra un periodo ya liquidado, sale en el reporte «reproducible» del cliente (10.4) y cuenta en el Creator Score (14.3) por un trabajo que nunca existio. Disparadores y no CHECK porque la condicion esta en otra tabla. El de UPDATE hace falta aparte porque cerrar la campana y mover al creador son operaciones distintas; se deja pasar cancelled porque cerrar una campana con candidatos dentro tiene que poder dejarlos resueltos, y la alternativa seria borrar la fila --lo que 3.12 prohibe--</t>
        </is>
      </c>
    </row>
    <row r="146" ht="23.25" customHeight="1" s="36">
      <c r="A146" s="67" t="inlineStr">
        <is>
          <t>DEC-101</t>
        </is>
      </c>
      <c r="B146" s="68" t="inlineStr">
        <is>
          <t>Decidida</t>
        </is>
      </c>
      <c r="C146" s="68" t="n"/>
      <c r="D146" s="69" t="inlineStr">
        <is>
          <t>En la lista corta se entra a un mercado CONCRETO, derivado del pais del creador.</t>
        </is>
      </c>
      <c r="E146" s="69" t="inlineStr">
        <is>
          <t>7.4</t>
        </is>
      </c>
      <c r="F146" s="69" t="inlineStr">
        <is>
          <t>No se pide: es el unico que puede ser, y pedirlo seria pedirle al operador que repita un dato que el sistema ya sabe. De ahi sale el cupo por mercado (target_creators, 7.3) y el reparto de entregables por pais en 7.5. agreed_amount nace en CERO a proposito: el compromiso economico se congela al aceptar (BR-CREATOR-008), no al meter a alguien en una lista, y un candidato con importe es un acuerdo que nadie ha firmado</t>
        </is>
      </c>
    </row>
    <row r="147" ht="23.25" customHeight="1" s="36">
      <c r="A147" s="67" t="inlineStr">
        <is>
          <t>DEC-100</t>
        </is>
      </c>
      <c r="B147" s="68" t="inlineStr">
        <is>
          <t>Decidida</t>
        </is>
      </c>
      <c r="C147" s="68" t="n"/>
      <c r="D147" s="69" t="inlineStr">
        <is>
          <t>Una categoria que el creador declaro que NO trabaja lo excluye del buscador.</t>
        </is>
      </c>
      <c r="E147" s="69" t="inlineStr">
        <is>
          <t>7.4</t>
        </is>
      </c>
      <c r="F147" s="69" t="inlineStr">
        <is>
          <t>Es media BR-CAMPAIGN-007 --roja, y hasta 7.4 sin nada detras-- y es la mitad que ya se puede comprobar con lo que hay en el modelo: creator_restrictions contra client_brand_categories. El creador ya dijo que no; invitarlo es hacerle perder el tiempo a los dos. Se sigue viendo con el interruptor de descartados, para poder auditar por que falta alguien. Competidores y exclusividades vigentes llegan en 7.11</t>
        </is>
      </c>
    </row>
    <row r="148" ht="23.25" customHeight="1" s="36">
      <c r="A148" s="67" t="inlineStr">
        <is>
          <t>DEC-099</t>
        </is>
      </c>
      <c r="B148" s="68" t="inlineStr">
        <is>
          <t>Decidida</t>
        </is>
      </c>
      <c r="C148" s="68" t="n"/>
      <c r="D148" s="69" t="inlineStr">
        <is>
          <t>El buscador ensena a todos los activos; el veto real salta al anadir.</t>
        </is>
      </c>
      <c r="E148" s="69" t="inlineStr">
        <is>
          <t>7.4</t>
        </is>
      </c>
      <c r="F148" s="69" t="inlineStr">
        <is>
          <t>Un creador activado en junio al que en agosto se le retiro el medio de pago sigue con status = 'active': sale en la busqueda, con lo que le falta a la vista, y NO entra en la lista corta. Dos motivos: revalidar los seis requisitos de BR-CREATOR-006 por candidato y por busqueda es caro --en el veto se hace una vez, sobre uno-- y un creador que desaparece sin explicacion parece un fallo del sistema, mientras que uno que sale con «le falta el medio de pago» es una tarea. El veto usa CompletitudOperativa, la MISMA clase que decide la activacion y no una copia: si manana se anade un septimo requisito, lo hereda sin que nadie se acuerde de venir aqui</t>
        </is>
      </c>
    </row>
    <row r="149" ht="15" customHeight="1" s="36">
      <c r="A149" s="67" t="inlineStr">
        <is>
          <t>DEC-098</t>
        </is>
      </c>
      <c r="B149" s="68" t="inlineStr">
        <is>
          <t>Decidida</t>
        </is>
      </c>
      <c r="C149" s="68" t="n"/>
      <c r="D149" s="69" t="inlineStr">
        <is>
          <t>Que el mercado sea DE la campana lo garantiza el esquema, con foraneas COMPUESTAS.</t>
        </is>
      </c>
      <c r="E149" s="69" t="inlineStr">
        <is>
          <t>7.3</t>
        </is>
      </c>
      <c r="F149" s="69" t="inlineStr">
        <is>
          <t>campaign_requirements.campaign_market_id y campaign_creators.campaign_market_id apuntaban a campaign_markets(id), y una foranea asi solo comprueba que el mercado exista: nada impedia un requisito de la campana A colgado del mercado de la campana B, ni un creador aceptado atribuido al pais de otra campana. Se anade uq_cm_id_campaign (id, campaign_id) --redundante como clave, necesaria como destino-- y las dos foraneas pasan a (campaign_market_id, campaign_id). Se prefiere a un disparador porque la comprueba el motor en las dos direcciones --tambien impide mover un mercado de campana-- y porque Percona 5.7 si tiene foraneas compuestas. Y el NULL con significado de N-03 sobrevive sin un caso especial: en MySQL una foranea compuesta con un componente NULL no se comprueba</t>
        </is>
      </c>
    </row>
    <row r="150" ht="68.25" customHeight="1" s="36">
      <c r="A150" s="67" t="inlineStr">
        <is>
          <t>DEC-097</t>
        </is>
      </c>
      <c r="B150" s="68" t="inlineStr">
        <is>
          <t>Decidida</t>
        </is>
      </c>
      <c r="C150" s="68" t="n"/>
      <c r="D150" s="69" t="inlineStr">
        <is>
          <t>El pais de un mercado no necesita cobertura de facturacion.</t>
        </is>
      </c>
      <c r="E150" s="69" t="inlineStr">
        <is>
          <t>7.3</t>
        </is>
      </c>
      <c r="F150" s="69" t="inlineStr">
        <is>
          <t>BR-LE-003 resuelve quien factura por el pais del CLIENTE: un cliente peruano puede pagar una campana que corre en Colombia sin que el grupo tenga sociedad alli, y exigir cobertura en el mercado bloquearia hoy toda campana fuera de Peru. Lo que si puede hacer falta es como se le paga a un creador colombiano, y eso es Q-40, que sigue abierta y desde 7.3 tiene caso de uso</t>
        </is>
      </c>
    </row>
    <row r="151" ht="23.25" customHeight="1" s="36">
      <c r="A151" s="67" t="inlineStr">
        <is>
          <t>DEC-096</t>
        </is>
      </c>
      <c r="B151" s="68" t="inlineStr">
        <is>
          <t>Decidida</t>
        </is>
      </c>
      <c r="C151" s="68" t="n"/>
      <c r="D151" s="69" t="inlineStr">
        <is>
          <t>De una campana confirmada se ANADE un mercado, no se quita.</t>
        </is>
      </c>
      <c r="E151" s="69" t="inlineStr">
        <is>
          <t>7.3</t>
        </is>
      </c>
      <c r="F151" s="69" t="inlineStr">
        <is>
          <t>Ampliar a un pais nuevo es una decision comercial normal y no rompe nada de lo prometido; quitar puede dejar fuera a creadores ya invitados o aceptados, y eso exige una enmienda aceptada por las dos partes (BR-CAMPAIGN-003). Lo impide tg_cm_no_quitar_confirmada, un BEFORE DELETE que mira el estado de la CAMPANA y no una columna propia: el congelado de un mercado no es un hecho del mercado. Y hace falta el disparador precisamente porque la regla es asimetrica: una simetrica --«confirmada, no se toca»-- se explica de memoria; una asimetrica se olvida en la mitad de los sitios</t>
        </is>
      </c>
    </row>
    <row r="152" ht="34.5" customHeight="1" s="36">
      <c r="A152" s="67" t="inlineStr">
        <is>
          <t>DEC-095</t>
        </is>
      </c>
      <c r="B152" s="68" t="inlineStr">
        <is>
          <t>Decidida</t>
        </is>
      </c>
      <c r="C152" s="68" t="n"/>
      <c r="D152" s="69" t="inlineStr">
        <is>
          <t>Una campana necesita al menos un mercado para salir de borrador.</t>
        </is>
      </c>
      <c r="E152" s="69" t="inlineStr">
        <is>
          <t>7.3</t>
        </is>
      </c>
      <c r="F152" s="69" t="inlineStr">
        <is>
          <t>Tercer motivo de BR-CAMPAIGN-004, junto al brief y al ingreso declarado. Una campana que no dice donde se ejecuta es una campana que nadie puede empezar: de ahi sale a quien se puede invitar (7.4). Cliente y marca los garantiza el esquema; el mercado no puede --un CHECK no cuenta filas de otra tabla-- asi que vive en Campanas::loQueFaltaParaSalirDeBorrador(), con los otros dos y diciendolos todos de una vez</t>
        </is>
      </c>
    </row>
    <row r="153" ht="23.25" customHeight="1" s="36">
      <c r="A153" s="67" t="inlineStr">
        <is>
          <t>DEC-094</t>
        </is>
      </c>
      <c r="B153" s="68" t="inlineStr">
        <is>
          <t>Decidida</t>
        </is>
      </c>
      <c r="C153" s="68" t="n"/>
      <c r="D153" s="69" t="inlineStr">
        <is>
          <t>La regla se recorta a los estados NO iniciales, como sus dos hermanas.</t>
        </is>
      </c>
      <c r="E153" s="69" t="inlineStr">
        <is>
          <t>7.2</t>
        </is>
      </c>
      <c r="F153" s="69" t="inlineStr">
        <is>
          <t>La primera version de ck_camp_revenue_declarado no lo hacia y habria rechazado toda campana recien creada: revenue_amount e is_gratis nacen los dos a cero, asi que el formulario vacio violaba la regla antes de que nadie pudiera teclear el precio. Es la misma forma que ck_camp_confirmed y ck_camp_billing_entity: *o estas todavia escribiendo la campana, o el dato existe*. Un borrador tiene derecho a estar a medias; lo que no puede es salir de ahi asi</t>
        </is>
      </c>
    </row>
    <row r="154" ht="23.25" customHeight="1" s="36">
      <c r="A154" s="67" t="inlineStr">
        <is>
          <t>DEC-093</t>
        </is>
      </c>
      <c r="B154" s="68" t="inlineStr">
        <is>
          <t>Decidida</t>
        </is>
      </c>
      <c r="C154" s="68" t="n"/>
      <c r="D154" s="69" t="inlineStr">
        <is>
          <t>Ingreso cero es valido, pero hay que declararlo.</t>
        </is>
      </c>
      <c r="E154" s="69" t="inlineStr">
        <is>
          <t>7.2</t>
        </is>
      </c>
      <c r="F154" s="69" t="inlineStr">
        <is>
          <t>revenue_amount = 0 respondia a dos preguntas distintas con el mismo numero --«esta campana se regala» (canje, cortesia, prueba) y «nadie le ha puesto precio»--, y ante un margen descuadrado la diferencia entre las dos es la diferencia entre «salio como se planeo» y «se nos escapo». Columna is_gratis y ck_camp_revenue_declarado. Va en la BASE y no en la pantalla porque la pregunta que hay que poder responder dentro de un ano es «¿esta campana de cero se regalo o se nos olvido cobrarla?», y esa respuesta tiene que sobrevivir a una importacion y a la proxima pantalla que alguien escriba. Mismo valor por omision que parecia una respuesta que DEC-048 y DEC-068</t>
        </is>
      </c>
    </row>
    <row r="155" ht="23.25" customHeight="1" s="36">
      <c r="A155" s="67" t="inlineStr">
        <is>
          <t>DEC-092</t>
        </is>
      </c>
      <c r="B155" s="68" t="inlineStr">
        <is>
          <t>Decidida</t>
        </is>
      </c>
      <c r="C155" s="68" t="n"/>
      <c r="D155" s="69" t="inlineStr">
        <is>
          <t>«Brief definido» son los REQUISITOS, no el texto del briefing.</t>
        </is>
      </c>
      <c r="E155" s="69" t="inlineStr">
        <is>
          <t>7.2</t>
        </is>
      </c>
      <c r="F155" s="69" t="inlineStr">
        <is>
          <t>BR-CAMPAIGN-004 exige «brief definido» para aprobar y no dice que es. Se decide: al menos una fila en campaign_requirements --un formato, una cantidad, un plazo--. El campo briefing sigue siendo texto libre opcional porque no se puede comprobar de verdad: un espacio en blanco cumpliria cualquier NOT NULL, asi que exigirlo anadiria friccion sin anadir garantia. Los formatos si se comprueban, y son lo que convierte «hay una campana» en «hay algo que entregar»: es lo minimo que un creador necesita para decidir si acepta</t>
        </is>
      </c>
    </row>
    <row r="156" ht="23.25" customHeight="1" s="36">
      <c r="A156" s="67" t="inlineStr">
        <is>
          <t>DEC-091</t>
        </is>
      </c>
      <c r="B156" s="68" t="inlineStr">
        <is>
          <t>Decidida</t>
        </is>
      </c>
      <c r="C156" s="68" t="n"/>
      <c r="D156" s="69" t="inlineStr">
        <is>
          <t>Aprobar una campana es de finanzas, no de quien la monta.</t>
        </is>
      </c>
      <c r="E156" s="69" t="inlineStr">
        <is>
          <t>7.1</t>
        </is>
      </c>
      <c r="F156" s="69" t="inlineStr">
        <is>
          <t>Aprobar fija el ingreso comprometido y congela la sociedad emisora: es una decision de dinero, y la misma separacion que DEC-044 impone en la base para perfiles fiscales y medios de pago. Permiso nuevo campaign.approve, y vive en el GRAFO de transiciones, no en la ruta: una ruta con permiso fijo obligaria a partir la accion en dos y a acordarse de las dos al anadir un estado</t>
        </is>
      </c>
    </row>
    <row r="157" ht="23.25" customHeight="1" s="36">
      <c r="A157" s="67" t="inlineStr">
        <is>
          <t>DEC-090</t>
        </is>
      </c>
      <c r="B157" s="68" t="inlineStr">
        <is>
          <t>Decidida</t>
        </is>
      </c>
      <c r="C157" s="68" t="n"/>
      <c r="D157" s="69" t="inlineStr">
        <is>
          <t>Se congela al confirmar, no al salir de borrador.</t>
        </is>
      </c>
      <c r="E157" s="69" t="inlineStr">
        <is>
          <t>7.1</t>
        </is>
      </c>
      <c r="F157" s="69" t="inlineStr">
        <is>
          <t>BR-LE-002 dice «inmutable una vez emitido» y para una campana «emitido» es ambiguo. Mientras es draft o pending_approval se corrige un dedazo; con confirmed_at puesto, no se toca. Lo impone tg_camp_entidad_congelada y no el controlador: de este dato depende que una factura de dentro de dos anos siga sabiendo quien la emitio, asi que tiene que sobrevivir a un UPDATE de mantenimiento. La alternativa --congelar al salir de borrador-- llenaria el historico de campanas cancelled que no se cancelaron por negocio, y un estado que miente sobre por que existe es peor que un campo editable un rato mas</t>
        </is>
      </c>
    </row>
    <row r="158" ht="57" customHeight="1" s="36">
      <c r="A158" s="67" t="inlineStr">
        <is>
          <t>DEC-089</t>
        </is>
      </c>
      <c r="B158" s="68" t="inlineStr">
        <is>
          <t>Decidida</t>
        </is>
      </c>
      <c r="C158" s="68" t="n"/>
      <c r="D158" s="69" t="inlineStr">
        <is>
          <t>La sociedad que factura una campana se resuelve a starts_on.</t>
        </is>
      </c>
      <c r="E158" s="69" t="inlineStr">
        <is>
          <t>7.1</t>
        </is>
      </c>
      <c r="F158" s="69" t="inlineStr">
        <is>
          <t>BR-LE-003 dice «en la fecha de la operacion»; para una campana esa fecha es cuando empieza a prestarse el servicio, que es lo que un contador defiende ante SUNAT. Consecuencia: una campana creada en diciembre para arrancar en febrero usa la cobertura de FEBRERO, asi que si la cobertura cambia el 1 de enero la campana nace ya con la sociedad correcta en vez de con una que habria que corregir --y corregirla es justo lo que DEC-090 impide--</t>
        </is>
      </c>
    </row>
    <row r="159" ht="23.25" customHeight="1" s="36">
      <c r="A159" s="67" t="inlineStr">
        <is>
          <t>DEC-088</t>
        </is>
      </c>
      <c r="B159" s="68" t="inlineStr">
        <is>
          <t>Decidida</t>
        </is>
      </c>
      <c r="C159" s="68" t="n"/>
      <c r="D159" s="69" t="inlineStr">
        <is>
          <t>La aritmetica de vigencias vive en Vigencia, y una puerta lo comprueba.</t>
        </is>
      </c>
      <c r="E159" s="69" t="inlineStr">
        <is>
          <t>4.7</t>
        </is>
      </c>
      <c r="F159" s="69" t="inlineStr">
        <is>
          <t>El error de un dia --cerrar un periodo el mismo dia en que empieza el siguiente, siendo valid_to inclusivo-- ha aparecido NUEVE veces. Vigencia (4.5) le dio un sitio; tools/verificar-vigencias.php impide que vuelva a salir de el. Dos reglas: ninguna aritmetica de dias fuera de Vigencia, y ninguna comparacion de una columna de vigencia contra algo sin normalizar. Escrita en PHP con token_get_all() y no en Python con expresiones regulares, porque los comentarios de este proyecto nombran el defecto y las migraciones llevan SQL con &gt;= dentro: una regex se acusaria a si misma. Al estrenarla quedaban tres sitios sueltos, los tres escritos DESPUES de Vigencia, y uno era un fallo real ----desde=2026-2-1 contra effective_from como cadenas, dejando dos textos legales vigentes el mismo dia--. Ver docs/fase-4/4.7-PUERTA-VIGENCIAS.md</t>
        </is>
      </c>
    </row>
    <row r="160" ht="34.5" customHeight="1" s="36">
      <c r="A160" s="67" t="inlineStr">
        <is>
          <t>DEC-087</t>
        </is>
      </c>
      <c r="B160" s="68" t="inlineStr">
        <is>
          <t>Decidida</t>
        </is>
      </c>
      <c r="C160" s="68" t="n"/>
      <c r="D160" s="69" t="inlineStr">
        <is>
          <t>Un 1062 se absorbe o se cuenta segun quien eligio el valor, y hay que NOMBRAR el indice para absorberlo.</t>
        </is>
      </c>
      <c r="E160" s="69" t="inlineStr">
        <is>
          <t>4.6</t>
        </is>
      </c>
      <c r="F160" s="69" t="inlineStr">
        <is>
          <t>Si el valor lo calculo el sistema —el slug de una marca— el choque se recalcula y se reintenta en silencio. Si lo escribio la persona —un RUC, el nombre de una marca— tiene que llegar arriba con palabras. App\Shared\Database\Choque obliga a elegir: reintentar() exige el nombre del indice y vuelve a lanzar cualquier otro a la primera, porque un catch (QueryException) a secas absorberia el RUC repetido igual que el slug. Tres intentos como tope: un bucle sin tope convierte un indice mal entendido en una peticion eterna. El nombre se lee cortando por el ultimo punto —MySQL 8 antepone la tabla y Percona 5.7 no—, comprobado contra los dos motores</t>
        </is>
      </c>
    </row>
    <row r="161" ht="34.5" customHeight="1" s="36">
      <c r="A161" s="67" t="inlineStr">
        <is>
          <t>DEC-086</t>
        </is>
      </c>
      <c r="B161" s="68" t="inlineStr">
        <is>
          <t>Decidida</t>
        </is>
      </c>
      <c r="C161" s="68" t="n"/>
      <c r="D161" s="69" t="inlineStr">
        <is>
          <t>La contraseña temporal deja de ser válida en el primer acceso</t>
        </is>
      </c>
      <c r="E161" s="69" t="n"/>
      <c r="F161" s="69" t="n"/>
    </row>
    <row r="162" ht="45.75" customHeight="1" s="36">
      <c r="A162" s="67" t="inlineStr">
        <is>
          <t>DEC-085</t>
        </is>
      </c>
      <c r="B162" s="68" t="inlineStr">
        <is>
          <t>Decidida</t>
        </is>
      </c>
      <c r="C162" s="68" t="n"/>
      <c r="D162" s="69" t="inlineStr">
        <is>
          <t>La bitácora la protegen dos usuarios de base de datos, no el esquema</t>
        </is>
      </c>
      <c r="E162" s="69" t="n"/>
      <c r="F162" s="69" t="n"/>
    </row>
    <row r="163" ht="34.5" customHeight="1" s="36">
      <c r="A163" s="67" t="inlineStr">
        <is>
          <t>DEC-084</t>
        </is>
      </c>
      <c r="B163" s="68" t="inlineStr">
        <is>
          <t>Decidida</t>
        </is>
      </c>
      <c r="C163" s="68" t="n"/>
      <c r="D163" s="69" t="inlineStr">
        <is>
          <t>«Perfil fiscal vigente» exige que ya haya empezado</t>
        </is>
      </c>
      <c r="E163" s="69" t="n"/>
      <c r="F163" s="69" t="n"/>
    </row>
    <row r="164" ht="23.25" customHeight="1" s="36">
      <c r="A164" s="67" t="inlineStr">
        <is>
          <t>DEC-083</t>
        </is>
      </c>
      <c r="B164" s="68" t="inlineStr">
        <is>
          <t>Decidida</t>
        </is>
      </c>
      <c r="C164" s="68" t="n"/>
      <c r="D164" s="69" t="inlineStr">
        <is>
          <t>«Cuenta compartida» se calcula al leer, no se guarda</t>
        </is>
      </c>
      <c r="E164" s="69" t="n"/>
      <c r="F164" s="69" t="n"/>
    </row>
    <row r="165" ht="23.25" customHeight="1" s="36">
      <c r="A165" s="67" t="inlineStr">
        <is>
          <t>DEC-082</t>
        </is>
      </c>
      <c r="B165" s="68" t="inlineStr">
        <is>
          <t>Decidida</t>
        </is>
      </c>
      <c r="C165" s="68" t="n"/>
      <c r="D165" s="69" t="inlineStr">
        <is>
          <t>Las sociedades del grupo las gestiona sólo admin</t>
        </is>
      </c>
      <c r="E165" s="69" t="n"/>
      <c r="F165" s="69" t="n"/>
    </row>
    <row r="166" ht="23.25" customHeight="1" s="36">
      <c r="A166" s="67" t="inlineStr">
        <is>
          <t>DEC-081</t>
        </is>
      </c>
      <c r="B166" s="68" t="inlineStr">
        <is>
          <t>Decidida</t>
        </is>
      </c>
      <c r="C166" s="68" t="n"/>
      <c r="D166" s="69" t="inlineStr">
        <is>
          <t>Dar de baja una sociedad cierra sus coberturas abiertas</t>
        </is>
      </c>
      <c r="E166" s="69" t="n"/>
      <c r="F166" s="69" t="n"/>
    </row>
    <row r="167" ht="34.5" customHeight="1" s="36">
      <c r="A167" s="67" t="inlineStr">
        <is>
          <t>DEC-080</t>
        </is>
      </c>
      <c r="B167" s="68" t="inlineStr">
        <is>
          <t>Decidida</t>
        </is>
      </c>
      <c r="C167" s="68" t="n"/>
      <c r="D167" s="69" t="inlineStr">
        <is>
          <t>Un gate que comprueba que los nombres entre capas existen</t>
        </is>
      </c>
      <c r="E167" s="69" t="n"/>
      <c r="F167" s="69" t="n"/>
    </row>
    <row r="168" ht="23.25" customHeight="1" s="36">
      <c r="A168" s="67" t="inlineStr">
        <is>
          <t>DEC-079</t>
        </is>
      </c>
      <c r="B168" s="68" t="inlineStr">
        <is>
          <t>Decidida</t>
        </is>
      </c>
      <c r="C168" s="68" t="n"/>
      <c r="D168" s="69" t="inlineStr">
        <is>
          <t>La identidad fiscal del cliente tiene permiso propio, en dos roles</t>
        </is>
      </c>
      <c r="E168" s="69" t="n"/>
      <c r="F168" s="69" t="n"/>
    </row>
    <row r="169" ht="45.75" customHeight="1" s="36">
      <c r="A169" s="67" t="inlineStr">
        <is>
          <t>DEC-078</t>
        </is>
      </c>
      <c r="B169" s="68" t="inlineStr">
        <is>
          <t>Decidida</t>
        </is>
      </c>
      <c r="C169" s="68" t="n"/>
      <c r="D169" s="69" t="inlineStr">
        <is>
          <t>El histórico fiscal del cliente está congelado</t>
        </is>
      </c>
      <c r="E169" s="69" t="n"/>
      <c r="F169" s="69" t="n"/>
    </row>
    <row r="170" ht="45.75" customHeight="1" s="36">
      <c r="A170" s="67" t="inlineStr">
        <is>
          <t>DEC-077</t>
        </is>
      </c>
      <c r="B170" s="68" t="inlineStr">
        <is>
          <t>Decidida</t>
        </is>
      </c>
      <c r="C170" s="68" t="n"/>
      <c r="D170" s="69" t="inlineStr">
        <is>
          <t>Un contacto no cambia de cliente</t>
        </is>
      </c>
      <c r="E170" s="69" t="n"/>
      <c r="F170" s="69" t="n"/>
    </row>
    <row r="171" ht="23.25" customHeight="1" s="36">
      <c r="A171" s="67" t="inlineStr">
        <is>
          <t>DEC-076</t>
        </is>
      </c>
      <c r="B171" s="68" t="inlineStr">
        <is>
          <t>Decidida</t>
        </is>
      </c>
      <c r="C171" s="68" t="n"/>
      <c r="D171" s="69" t="inlineStr">
        <is>
          <t>La lista de suites de restricción vive en un solo archivo</t>
        </is>
      </c>
      <c r="E171" s="69" t="n"/>
      <c r="F171" s="69" t="n"/>
    </row>
    <row r="172" ht="34.5" customHeight="1" s="36">
      <c r="A172" s="67" t="inlineStr">
        <is>
          <t>DEC-075</t>
        </is>
      </c>
      <c r="B172" s="68" t="inlineStr">
        <is>
          <t>Decidida</t>
        </is>
      </c>
      <c r="C172" s="68" t="n"/>
      <c r="D172" s="69" t="inlineStr">
        <is>
          <t>El relevo del contacto principal se hace, no se rechaza</t>
        </is>
      </c>
      <c r="E172" s="69" t="n"/>
      <c r="F172" s="69" t="n"/>
    </row>
    <row r="173" ht="34.5" customHeight="1" s="36">
      <c r="A173" s="67" t="inlineStr">
        <is>
          <t>DEC-074</t>
        </is>
      </c>
      <c r="B173" s="68" t="inlineStr">
        <is>
          <t>Decidida</t>
        </is>
      </c>
      <c r="C173" s="68" t="n"/>
      <c r="D173" s="69" t="inlineStr">
        <is>
          <t>Al dar de alta un cliente se crea su primera marca</t>
        </is>
      </c>
      <c r="E173" s="69" t="n"/>
      <c r="F173" s="69" t="n"/>
    </row>
    <row r="174" ht="45.75" customHeight="1" s="36">
      <c r="A174" s="67" t="inlineStr">
        <is>
          <t>DEC-073</t>
        </is>
      </c>
      <c r="B174" s="68" t="inlineStr">
        <is>
          <t>Decidida</t>
        </is>
      </c>
      <c r="C174" s="68" t="n"/>
      <c r="D174" s="69" t="inlineStr">
        <is>
          <t>Un prospecto se apunta en cualquier país; activarlo exige cobertura</t>
        </is>
      </c>
      <c r="E174" s="69" t="inlineStr">
        <is>
          <t>ADOPTADA e implementada (2026-08-24, iteración 3.9)</t>
        </is>
      </c>
      <c r="F174" s="69" t="n"/>
    </row>
    <row r="175" ht="34.5" customHeight="1" s="36">
      <c r="A175" s="67" t="inlineStr">
        <is>
          <t>DEC-072</t>
        </is>
      </c>
      <c r="B175" s="68" t="inlineStr">
        <is>
          <t>Decidida</t>
        </is>
      </c>
      <c r="C175" s="68" t="n"/>
      <c r="D175" s="69" t="inlineStr">
        <is>
          <t>creator_addresses queda fuera de la regla de periodos</t>
        </is>
      </c>
      <c r="E175" s="69" t="n"/>
      <c r="F175" s="69" t="n"/>
    </row>
    <row r="176" ht="45.75" customHeight="1" s="36">
      <c r="A176" s="67" t="inlineStr">
        <is>
          <t>DEC-071</t>
        </is>
      </c>
      <c r="B176" s="68" t="inlineStr">
        <is>
          <t>Decidida</t>
        </is>
      </c>
      <c r="C176" s="68" t="n"/>
      <c r="D176" s="69" t="inlineStr">
        <is>
          <t>Un perfil fiscal nuevo no puede empezar antes que el vigente</t>
        </is>
      </c>
      <c r="E176" s="69" t="n"/>
      <c r="F176" s="69" t="n"/>
    </row>
    <row r="177" ht="34.5" customHeight="1" s="36">
      <c r="A177" s="67" t="inlineStr">
        <is>
          <t>DEC-070</t>
        </is>
      </c>
      <c r="B177" s="68" t="inlineStr">
        <is>
          <t>Decidida</t>
        </is>
      </c>
      <c r="C177" s="68" t="n"/>
      <c r="D177" s="69" t="inlineStr">
        <is>
          <t>Un bloqueo de agenda se registra aunque pise una campaña aceptada</t>
        </is>
      </c>
      <c r="E177" s="69" t="n"/>
      <c r="F177" s="69" t="n"/>
    </row>
    <row r="178" ht="34.5" customHeight="1" s="36">
      <c r="A178" s="67" t="inlineStr">
        <is>
          <t>DEC-069</t>
        </is>
      </c>
      <c r="B178" s="68" t="inlineStr">
        <is>
          <t>Decidida</t>
        </is>
      </c>
      <c r="C178" s="68" t="n"/>
      <c r="D178" s="69" t="inlineStr">
        <is>
          <t>Las tarifas tienen permiso propio: creator.rate.manage</t>
        </is>
      </c>
      <c r="E178" s="69" t="inlineStr">
        <is>
          <t>ADOPTADA e implementada (2026-08-24, iteración 3.9)</t>
        </is>
      </c>
      <c r="F178" s="69" t="n"/>
    </row>
    <row r="179" ht="23.25" customHeight="1" s="36">
      <c r="A179" s="67" t="inlineStr">
        <is>
          <t>DEC-068</t>
        </is>
      </c>
      <c r="B179" s="68" t="inlineStr">
        <is>
          <t>Decidida</t>
        </is>
      </c>
      <c r="C179" s="68" t="n"/>
      <c r="D179" s="69" t="inlineStr">
        <is>
          <t>Cero es un precio válido, pero hay que declararlo</t>
        </is>
      </c>
      <c r="E179" s="69" t="inlineStr">
        <is>
          <t>ADOPTADA e implementada (2026-08-24, iteración 3.9)</t>
        </is>
      </c>
      <c r="F179" s="69" t="n"/>
    </row>
    <row r="180" ht="34.5" customHeight="1" s="36">
      <c r="A180" s="67" t="inlineStr">
        <is>
          <t>DEC-067</t>
        </is>
      </c>
      <c r="B180" s="68" t="inlineStr">
        <is>
          <t>Decidida</t>
        </is>
      </c>
      <c r="C180" s="68" t="n"/>
      <c r="D180" s="69" t="inlineStr">
        <is>
          <t>Los dos permisos de medios de pago van al rol finance</t>
        </is>
      </c>
      <c r="E180" s="69" t="inlineStr">
        <is>
          <t>ADOPTADA e implementada (2026-08-23, iteración 3.8)</t>
        </is>
      </c>
      <c r="F180" s="69" t="n"/>
    </row>
    <row r="181" ht="90.75" customHeight="1" s="36">
      <c r="A181" s="67" t="inlineStr">
        <is>
          <t>DEC-066</t>
        </is>
      </c>
      <c r="B181" s="68" t="inlineStr">
        <is>
          <t>Decidida</t>
        </is>
      </c>
      <c r="C181" s="68" t="n"/>
      <c r="D181" s="69" t="inlineStr">
        <is>
          <t>La cuenta de un medio de pago es inmutable: se sustituye, no se edita</t>
        </is>
      </c>
      <c r="E181" s="69" t="inlineStr">
        <is>
          <t>ADOPTADA e implementada (2026-08-23, iteración 3.8)</t>
        </is>
      </c>
      <c r="F181" s="69" t="n"/>
    </row>
    <row r="182" ht="34.5" customHeight="1" s="36">
      <c r="A182" s="67" t="inlineStr">
        <is>
          <t>DEC-065</t>
        </is>
      </c>
      <c r="B182" s="68" t="inlineStr">
        <is>
          <t>Decidida</t>
        </is>
      </c>
      <c r="C182" s="68" t="n"/>
      <c r="D182" s="69" t="inlineStr">
        <is>
          <t>La misma cuenta en dos creadores se marca, no se rechaza</t>
        </is>
      </c>
      <c r="E182" s="69" t="inlineStr">
        <is>
          <t>ADOPTADA e implementada (2026-08-23, iteración 3.8)</t>
        </is>
      </c>
      <c r="F182" s="69" t="n"/>
    </row>
    <row r="183" ht="23.25" customHeight="1" s="36">
      <c r="A183" s="67" t="inlineStr">
        <is>
          <t>DEC-064</t>
        </is>
      </c>
      <c r="B183" s="68" t="inlineStr">
        <is>
          <t>Decidida</t>
        </is>
      </c>
      <c r="C183" s="68" t="n"/>
      <c r="D183" s="69" t="inlineStr">
        <is>
          <t>El enfriamiento de un medio de pago son 24 horas, y es configuración</t>
        </is>
      </c>
      <c r="E183" s="69" t="inlineStr">
        <is>
          <t>ADOPTADA e implementada (2026-08-23, iteración 3.8)</t>
        </is>
      </c>
      <c r="F183" s="69" t="n"/>
    </row>
    <row r="184" ht="34.5" customHeight="1" s="36">
      <c r="A184" s="67" t="inlineStr">
        <is>
          <t>DEC-063</t>
        </is>
      </c>
      <c r="B184" s="68" t="inlineStr">
        <is>
          <t>Decidida</t>
        </is>
      </c>
      <c r="C184" s="68" t="n"/>
      <c r="D184" s="69" t="inlineStr">
        <is>
          <t>Los umbrales de coherencia son juicio, no verdad; y no rechazan nada</t>
        </is>
      </c>
      <c r="E184" s="69" t="inlineStr">
        <is>
          <t>ADOPTADA e implementada (2026-08-23, iteración 3.7) — umbrales revisables</t>
        </is>
      </c>
      <c r="F184" s="69" t="n"/>
    </row>
    <row r="185" ht="34.5" customHeight="1" s="36">
      <c r="A185" s="67" t="inlineStr">
        <is>
          <t>DEC-062</t>
        </is>
      </c>
      <c r="B185" s="68" t="inlineStr">
        <is>
          <t>Decidida</t>
        </is>
      </c>
      <c r="C185" s="68" t="n"/>
      <c r="D185" s="69" t="inlineStr">
        <is>
          <t>Los dos permisos fiscales van al mismo rol; la separación la impone la base</t>
        </is>
      </c>
      <c r="E185" s="69" t="inlineStr">
        <is>
          <t>ADOPTADA e implementada (2026-08-23, iteración 3.6)</t>
        </is>
      </c>
      <c r="F185" s="69" t="n"/>
    </row>
    <row r="186" ht="34.5" customHeight="1" s="36">
      <c r="A186" s="67" t="inlineStr">
        <is>
          <t>DEC-061</t>
        </is>
      </c>
      <c r="B186" s="68" t="inlineStr">
        <is>
          <t>Decidida</t>
        </is>
      </c>
      <c r="C186" s="68" t="n"/>
      <c r="D186" s="69" t="inlineStr">
        <is>
          <t>Las pruebas usan una base local y desechable, nunca la de desarrollo</t>
        </is>
      </c>
      <c r="E186" s="69" t="inlineStr">
        <is>
          <t>ADOPTADA e implementada (2026-08-23, iteración 3.5)</t>
        </is>
      </c>
      <c r="F186" s="69" t="n"/>
    </row>
    <row r="187" ht="34.5" customHeight="1" s="36">
      <c r="A187" s="67" t="inlineStr">
        <is>
          <t>DEC-060</t>
        </is>
      </c>
      <c r="B187" s="68" t="inlineStr">
        <is>
          <t>Decidida</t>
        </is>
      </c>
      <c r="C187" s="68" t="n"/>
      <c r="D187" s="69" t="inlineStr">
        <is>
          <t>Verificar y activar son permisos distintos, pero hoy el mismo rol</t>
        </is>
      </c>
      <c r="E187" s="69" t="inlineStr">
        <is>
          <t>ADOPTADA (2026-08-23, iteración 3.5) — decisión de negocio revisable</t>
        </is>
      </c>
      <c r="F187" s="69" t="n"/>
    </row>
    <row r="188" ht="34.5" customHeight="1" s="36">
      <c r="A188" s="67" t="inlineStr">
        <is>
          <t>DEC-059</t>
        </is>
      </c>
      <c r="B188" s="68" t="inlineStr">
        <is>
          <t>Decidida</t>
        </is>
      </c>
      <c r="C188" s="68" t="n"/>
      <c r="D188" s="69" t="inlineStr">
        <is>
          <t>Se acepta una versión de los términos, no una página</t>
        </is>
      </c>
      <c r="E188" s="69" t="inlineStr">
        <is>
          <t>ADOPTADA e implementada (2026-08-23, iteración 3.5)</t>
        </is>
      </c>
      <c r="F188" s="69" t="n"/>
    </row>
    <row r="189" ht="34.5" customHeight="1" s="36">
      <c r="A189" s="67" t="inlineStr">
        <is>
          <t>DEC-058</t>
        </is>
      </c>
      <c r="B189" s="68" t="inlineStr">
        <is>
          <t>Decidida</t>
        </is>
      </c>
      <c r="C189" s="68" t="n"/>
      <c r="D189" s="69" t="inlineStr">
        <is>
          <t>La identidad verificada es evidencia, no una casilla</t>
        </is>
      </c>
      <c r="E189" s="69" t="inlineStr">
        <is>
          <t>ADOPTADA e implementada (2026-08-23, iteración 3.5)</t>
        </is>
      </c>
      <c r="F189" s="69" t="n"/>
    </row>
    <row r="190" ht="23.25" customHeight="1" s="36">
      <c r="A190" s="67" t="inlineStr">
        <is>
          <t>DEC-057</t>
        </is>
      </c>
      <c r="B190" s="68" t="inlineStr">
        <is>
          <t>Decidida</t>
        </is>
      </c>
      <c r="C190" s="68" t="n"/>
      <c r="D190" s="69" t="inlineStr">
        <is>
          <t>Aprobar una solicitud no activa al creador</t>
        </is>
      </c>
      <c r="E190" s="69" t="inlineStr">
        <is>
          <t>ADOPTADA e implementada (2026-08-22, iteración 3.4)</t>
        </is>
      </c>
      <c r="F190" s="69" t="n"/>
    </row>
    <row r="191" ht="23.25" customHeight="1" s="36">
      <c r="A191" s="67" t="inlineStr">
        <is>
          <t>DEC-056</t>
        </is>
      </c>
      <c r="B191" s="68" t="inlineStr">
        <is>
          <t>Decidida</t>
        </is>
      </c>
      <c r="C191" s="68" t="n"/>
      <c r="D191" s="69" t="inlineStr">
        <is>
          <t>La bitácora se ordena por id, no por fecha, y redacta lo sensible</t>
        </is>
      </c>
      <c r="E191" s="69" t="inlineStr">
        <is>
          <t>ADOPTADA e implementada (2026-08-22, iteración 3.3)</t>
        </is>
      </c>
      <c r="F191" s="69" t="n"/>
    </row>
    <row r="192" ht="45.75" customHeight="1" s="36">
      <c r="A192" s="67" t="inlineStr">
        <is>
          <t>DEC-055</t>
        </is>
      </c>
      <c r="B192" s="68" t="inlineStr">
        <is>
          <t>Decidida</t>
        </is>
      </c>
      <c r="C192" s="68" t="n"/>
      <c r="D192" s="69" t="inlineStr">
        <is>
          <t>La primera pantalla de escritura no toca la identidad</t>
        </is>
      </c>
      <c r="E192" s="69" t="inlineStr">
        <is>
          <t>ADOPTADA e implementada (2026-08-22, iteración 3.2)</t>
        </is>
      </c>
      <c r="F192" s="69" t="inlineStr">
        <is>
          <t xml:space="preserve"> — Primera pantalla del proyecto que escribe: edición de creador.</t>
        </is>
      </c>
    </row>
    <row r="193" ht="34.5" customHeight="1" s="36">
      <c r="A193" s="67" t="inlineStr">
        <is>
          <t>DEC-054</t>
        </is>
      </c>
      <c r="B193" s="68" t="inlineStr">
        <is>
          <t>Decidida</t>
        </is>
      </c>
      <c r="C193" s="68" t="n"/>
      <c r="D193" s="69" t="inlineStr">
        <is>
          <t>La bitácora es inmutable en la base, no por convención</t>
        </is>
      </c>
      <c r="E193" s="69" t="inlineStr">
        <is>
          <t>ADOPTADA e implementada (2026-08-22, iteración 3.2)</t>
        </is>
      </c>
      <c r="F193" s="69" t="inlineStr">
        <is>
          <t xml:space="preserve"> — audit_logs existía desde 2.4 y nadie escribía en ella. Al ir a llenarla apareció el segundo problema: la tabla admitía UPDATE y DELETE como cualquier otra.</t>
        </is>
      </c>
    </row>
    <row r="194" ht="34.5" customHeight="1" s="36">
      <c r="A194" s="67" t="inlineStr">
        <is>
          <t>DEC-053</t>
        </is>
      </c>
      <c r="B194" s="68" t="inlineStr">
        <is>
          <t>Decidida</t>
        </is>
      </c>
      <c r="C194" s="68" t="n"/>
      <c r="D194" s="69" t="inlineStr">
        <is>
          <t>Autorización por permiso, sin atajo para el administrador</t>
        </is>
      </c>
      <c r="E194" s="69" t="inlineStr">
        <is>
          <t>ADOPTADA e implementada (2026-08-22, iteración 3.1)</t>
        </is>
      </c>
      <c r="F194" s="69" t="n"/>
    </row>
    <row r="195" ht="23.25" customHeight="1" s="36">
      <c r="A195" s="67" t="inlineStr">
        <is>
          <t>DEC-052</t>
        </is>
      </c>
      <c r="B195" s="68" t="inlineStr">
        <is>
          <t>Decidida</t>
        </is>
      </c>
      <c r="C195" s="68" t="n"/>
      <c r="D195" s="69" t="inlineStr">
        <is>
          <t>MySQL no admite subconsultas sobre la tabla que se está modificando</t>
        </is>
      </c>
      <c r="E195" s="69" t="inlineStr">
        <is>
          <t>ADOPTADA (2026-08-22)</t>
        </is>
      </c>
      <c r="F195" s="69" t="n"/>
    </row>
    <row r="196" ht="57" customHeight="1" s="36">
      <c r="A196" s="67" t="inlineStr">
        <is>
          <t>DEC-051</t>
        </is>
      </c>
      <c r="B196" s="68" t="inlineStr">
        <is>
          <t>Decidida</t>
        </is>
      </c>
      <c r="C196" s="68" t="n"/>
      <c r="D196" s="69" t="inlineStr">
        <is>
          <t>El CI corre la suite contra los dos motores, no contra uno</t>
        </is>
      </c>
      <c r="E196" s="69" t="inlineStr">
        <is>
          <t>ADOPTADA (2026-08-22). Recordatorio: tools/github-workflow-ci.yml sigue pendiente de mover a .github/workflows/ci.yml a mano — es ruta protegida</t>
        </is>
      </c>
      <c r="F196" s="69" t="inlineStr">
        <is>
          <t xml:space="preserve"> — El CI validaba formato, análisis estático, fronteras entre módulos, migraciones y pruebas. Nada de eso comprueba que las restricciones se apliquen en el motor de producción, que no aplica CHECK.</t>
        </is>
      </c>
    </row>
    <row r="197" ht="23.25" customHeight="1" s="36">
      <c r="A197" s="67" t="inlineStr">
        <is>
          <t>DEC-050</t>
        </is>
      </c>
      <c r="B197" s="68" t="inlineStr">
        <is>
          <t>Decidida</t>
        </is>
      </c>
      <c r="C197" s="68" t="n"/>
      <c r="D197" s="69" t="inlineStr">
        <is>
          <t>Las migraciones se contrastan contra el esquema de referencia, no se confía en que coincidan</t>
        </is>
      </c>
      <c r="E197" s="69" t="inlineStr">
        <is>
          <t>ADOPTADA e implementada (2026-08-22)</t>
        </is>
      </c>
      <c r="F197" s="69" t="n"/>
    </row>
    <row r="198" ht="23.25" customHeight="1" s="36">
      <c r="A198" s="67" t="inlineStr">
        <is>
          <t>DEC-049</t>
        </is>
      </c>
      <c r="B198" s="68" t="inlineStr">
        <is>
          <t>Decidida</t>
        </is>
      </c>
      <c r="C198" s="68" t="n"/>
      <c r="D198" s="69" t="inlineStr">
        <is>
          <t>Sin datos fiscales no hay alta, pero acompañamos a formalizarse</t>
        </is>
      </c>
      <c r="E198" s="69" t="inlineStr">
        <is>
          <t>ADOPTADA (2026-08-22)</t>
        </is>
      </c>
      <c r="F198" s="69" t="inlineStr">
        <is>
          <t xml:space="preserve"> — Respuesta a Q-45. La propuesta inicial era pagar a un familiar del creador con declaración jurada de parentesco. El análisis de docs/fase-2/2.14-PAGO-A-TERCEROS.md identificó tres problemas: el comprobante deja de coincidir con el pago (riesgo de gasto reparable para la empresa que paga), señales de alerta de prevención de lavado, y contradicción con BR-FIN-003, que ya está implementada.</t>
        </is>
      </c>
    </row>
    <row r="199" ht="23.25" customHeight="1" s="36">
      <c r="A199" s="67" t="inlineStr">
        <is>
          <t>DEC-048</t>
        </is>
      </c>
      <c r="B199" s="68" t="inlineStr">
        <is>
          <t>Decidida</t>
        </is>
      </c>
      <c r="C199" s="68" t="n"/>
      <c r="D199" s="69" t="inlineStr">
        <is>
          <t>La retención tiene tres estados, no dos</t>
        </is>
      </c>
      <c r="E199" s="69" t="inlineStr">
        <is>
          <t>ADOPTADA e implementada (2026-08-22, iteración 2.15)</t>
        </is>
      </c>
      <c r="F199" s="69" t="inlineStr">
        <is>
          <t xml:space="preserve"> — Sobre Q-40 se decidió «que el modelo lo deje configurable». Al implementarlo apareció que el riesgo que yo había señalado —*«alguien pone un número a ojo y nadie se entera»*— ya estaba dentro del modelo, y era peor.</t>
        </is>
      </c>
    </row>
    <row r="200" ht="45.75" customHeight="1" s="36">
      <c r="A200" s="67" t="inlineStr">
        <is>
          <t>DEC-047</t>
        </is>
      </c>
      <c r="B200" s="68" t="inlineStr">
        <is>
          <t>Decidida</t>
        </is>
      </c>
      <c r="C200" s="68" t="n"/>
      <c r="D200" s="69" t="inlineStr">
        <is>
          <t>Se factura a todos los países desde Perú</t>
        </is>
      </c>
      <c r="E200" s="69" t="inlineStr">
        <is>
          <t>ADOPTADA e implementada (2026-08-22)</t>
        </is>
      </c>
      <c r="F200" s="69" t="inlineStr">
        <is>
          <t xml:space="preserve"> — Respuesta a Q-42. En lugar de constituir sociedad en cada país, se emiten todos los comprobantes desde la sociedad peruana. Los países se resuelven uno a uno más adelante.</t>
        </is>
      </c>
    </row>
    <row r="201" ht="34.5" customHeight="1" s="36">
      <c r="A201" s="67" t="inlineStr">
        <is>
          <t>DEC-046</t>
        </is>
      </c>
      <c r="B201" s="68" t="inlineStr">
        <is>
          <t>Decidida</t>
        </is>
      </c>
      <c r="C201" s="68" t="n"/>
      <c r="D201" s="69" t="inlineStr">
        <is>
          <t>La base impone lo que ve en una fila; el resto lo impone el repositorio</t>
        </is>
      </c>
      <c r="E201" s="69" t="inlineStr">
        <is>
          <t>ADOPTADA (2026-08-22, iteración 2.13)</t>
        </is>
      </c>
      <c r="F201" s="69" t="inlineStr">
        <is>
          <t xml:space="preserve"> — Cinco invariantes de finanzas son de varias filas o varias tablas (suma de líneas = subtotal, cobros ≤ total facturado, moneda de asiento = moneda de su payout, signo de una reversión, saldo no negativo). Ningún CHECK puede expresarlas.</t>
        </is>
      </c>
    </row>
    <row r="202" ht="57" customHeight="1" s="36">
      <c r="A202" s="67" t="inlineStr">
        <is>
          <t>DEC-045</t>
        </is>
      </c>
      <c r="B202" s="68" t="inlineStr">
        <is>
          <t>Decidida</t>
        </is>
      </c>
      <c r="C202" s="68" t="n"/>
      <c r="D202" s="69" t="inlineStr">
        <is>
          <t>La inmutabilidad financiera se impone con disparadores, no con convención</t>
        </is>
      </c>
      <c r="E202" s="69" t="inlineStr">
        <is>
          <t>ADOPTADA e implementada (2026-08-22, iteración 2.13)</t>
        </is>
      </c>
      <c r="F202" s="69" t="inlineStr">
        <is>
          <t xml:space="preserve"> — BR-FIN-008 («ningún registro financiero se elimina físicamente») y BR-FIN-002 («una corrección es un asiento de reversión») eran hasta ahora reglas de la capa de aplicación.</t>
        </is>
      </c>
    </row>
    <row r="203" ht="23.25" customHeight="1" s="36">
      <c r="A203" s="67" t="inlineStr">
        <is>
          <t>DEC-044</t>
        </is>
      </c>
      <c r="B203" s="68" t="inlineStr">
        <is>
          <t>Decidida</t>
        </is>
      </c>
      <c r="C203" s="68" t="n"/>
      <c r="D203" s="69" t="inlineStr">
        <is>
          <t>Todo pago pertenece a un lote (no existen pagos sueltos)</t>
        </is>
      </c>
      <c r="E203" s="69" t="inlineStr">
        <is>
          <t>ADOPTADA e implementada (2026-08-22, iteración 2.13)</t>
        </is>
      </c>
      <c r="F203" s="69" t="inlineStr">
        <is>
          <t xml:space="preserve"> — La primera versión de payouts permitía payout_batch_id NULL, pensando en el pago puntual fuera de la corrida quincenal.</t>
        </is>
      </c>
    </row>
    <row r="204" ht="23.25" customHeight="1" s="36">
      <c r="A204" s="67" t="inlineStr">
        <is>
          <t>DEC-043</t>
        </is>
      </c>
      <c r="B204" s="68" t="inlineStr">
        <is>
          <t>Decidida</t>
        </is>
      </c>
      <c r="C204" s="68" t="n"/>
      <c r="D204" s="69" t="inlineStr">
        <is>
          <t>Dónde vive la base de datos de desarrollo</t>
        </is>
      </c>
      <c r="E204" s="69" t="inlineStr">
        <is>
          <t>ACORDADA en su intención; el motor concreto depende de DEC-042</t>
        </is>
      </c>
      <c r="F204" s="69" t="inlineStr">
        <is>
          <t>C. Es lo que hace un equipo profesional y no cuesta más que A: el motor local se instala una vez. El bucle interno —migrar, probar, deshacer, repetir— tiene que ser rápido o se deja de ejecutar, y unas pruebas que tardan minutos son unas pruebas que nadie corre. La base remota es el ensayo general, no el banco de trabajo. — Se propone usar el mismo servidor que producción, con dos bases separadas: una de desarrollo y otra de producción. No es trabajar contra los datos reales; es usar el mismo motor. Ya hay otras aplicaciones Laravel funcionando en ese servidor sin incidencias.</t>
        </is>
      </c>
    </row>
    <row r="205" ht="23.25" customHeight="1" s="36">
      <c r="A205" s="67" t="inlineStr">
        <is>
          <t>DEC-042</t>
        </is>
      </c>
      <c r="B205" s="68" t="inlineStr">
        <is>
          <t>Decidida</t>
        </is>
      </c>
      <c r="C205" s="68" t="n"/>
      <c r="D205" s="69" t="inlineStr">
        <is>
          <t>🔴 El servidor es MySQL 5.7 y no aplica los CHECK *(confirmado empíricamente)*</t>
        </is>
      </c>
      <c r="E205" s="69" t="inlineStr">
        <is>
          <t>🔴 CONFIRMADA — pendiente de elegir entre B y C</t>
        </is>
      </c>
      <c r="F205" s="69" t="inlineStr">
        <is>
          <t xml:space="preserve"> — El servidor de la aplicación es Percona Server 5.7.44-48 sobre cPanel. La base de desarrollo (..._dev) y la de producción viven en él. docs/03 asumía MySQL 8.</t>
        </is>
      </c>
    </row>
    <row r="206" ht="45.75" customHeight="1" s="36">
      <c r="A206" s="67" t="inlineStr">
        <is>
          <t>DEC-041</t>
        </is>
      </c>
      <c r="B206" s="68" t="inlineStr">
        <is>
          <t>Propuesta</t>
        </is>
      </c>
      <c r="C206" s="68" t="n"/>
      <c r="D206" s="69" t="inlineStr">
        <is>
          <t>Gamificación y Creator Score no se fusionan</t>
        </is>
      </c>
      <c r="E206" s="69" t="inlineStr">
        <is>
          <t>PROPUESTA</t>
        </is>
      </c>
      <c r="F206" s="69" t="inlineStr">
        <is>
          <t>B. El Score es interno, puede bajar y sirve para decidir a quién invitar; el XP es externo, nunca baja y sirve para motivar. Un creador que incumplió una vez debe bajar en el score y conservar el XP que ganó antes. — Ambos calculan un número sobre un creador a partir de los mismos eventos. La tentación de unirlos es enorme.</t>
        </is>
      </c>
    </row>
    <row r="207" ht="34.5" customHeight="1" s="36">
      <c r="A207" s="67" t="inlineStr">
        <is>
          <t>DEC-040</t>
        </is>
      </c>
      <c r="B207" s="68" t="inlineStr">
        <is>
          <t>Propuesta</t>
        </is>
      </c>
      <c r="C207" s="68" t="n"/>
      <c r="D207" s="69" t="inlineStr">
        <is>
          <t>Referidos con consolidación diferida</t>
        </is>
      </c>
      <c r="E207" s="69" t="inlineStr">
        <is>
          <t>PROPUESTA</t>
        </is>
      </c>
      <c r="F207" s="69" t="inlineStr">
        <is>
          <t>B, más topes por periodo y verificación de que referente y referido no comparten documento, teléfono ni medio de pago. El vínculo se conserva siempre aunque el XP no se consolide: es dato de negocio. — Un programa de referidos con recompensa es, sin excepción, un imán de fraude: autorreferidos, cuentas falsas, granjas.</t>
        </is>
      </c>
    </row>
    <row r="208" ht="23.25" customHeight="1" s="36">
      <c r="A208" s="67" t="inlineStr">
        <is>
          <t>DEC-039</t>
        </is>
      </c>
      <c r="B208" s="68" t="inlineStr">
        <is>
          <t>Propuesta</t>
        </is>
      </c>
      <c r="C208" s="68" t="n"/>
      <c r="D208" s="69" t="inlineStr">
        <is>
          <t>Los retos internos llevan siempre recompensa tangible 🔴</t>
        </is>
      </c>
      <c r="E208" s="69" t="inlineStr">
        <is>
          <t>PROPUESTA</t>
        </is>
      </c>
      <c r="F208" s="69" t="inlineStr">
        <is>
          <t>B, sin excepción. El XP es el envoltorio y el reconocimiento; nunca el pago. Es la salvaguarda que la propia especificación anticipó en §16. — "Minicampañas de XP por hacer vídeos para la plataforma". Leído desde el otro lado, puede sonar a *"produce contenido de marketing para mi empresa y te pago con puntos"* — a creadores que ya producen por dinero para tus clientes. En una red pequeña, ese daño reputacional se propaga en un grupo de WhatsApp.</t>
        </is>
      </c>
    </row>
    <row r="209" ht="23.25" customHeight="1" s="36">
      <c r="A209" s="67" t="inlineStr">
        <is>
          <t>DEC-038</t>
        </is>
      </c>
      <c r="B209" s="68" t="inlineStr">
        <is>
          <t>Propuesta</t>
        </is>
      </c>
      <c r="C209" s="68" t="n"/>
      <c r="D209" s="69" t="inlineStr">
        <is>
          <t>Ranking por cohortes, sin tabla global</t>
        </is>
      </c>
      <c r="E209" s="69" t="inlineStr">
        <is>
          <t>PROPUESTA</t>
        </is>
      </c>
      <c r="F209" s="69" t="inlineStr">
        <is>
          <t>C. Los puntos de liga se reinician por temporada; el XP nunca. Sin ranking público por ingresos, jamás. Un ranking global solo tiene sentido en una vista interna, y ahí es un reporte, no gamificación. — Una clasificación global con 1.000 creadores significa que 990 abren la app y ven que están perdiendo. Y con el tiempo se estanca: quien lleva más tiempo acumula más.</t>
        </is>
      </c>
    </row>
    <row r="210" ht="45.75" customHeight="1" s="36">
      <c r="A210" s="67" t="inlineStr">
        <is>
          <t>DEC-037</t>
        </is>
      </c>
      <c r="B210" s="68" t="inlineStr">
        <is>
          <t>Propuesta</t>
        </is>
      </c>
      <c r="C210" s="68" t="n"/>
      <c r="D210" s="69" t="inlineStr">
        <is>
          <t>Los niveles se calculan, no se almacenan</t>
        </is>
      </c>
      <c r="E210" s="69" t="inlineStr">
        <is>
          <t>PROPUESTA</t>
        </is>
      </c>
      <c r="F210" s="69" t="inlineStr">
        <is>
          <t>B. Permite ajustar umbrales sin quitarle puntos a nadie, que es justamente lo que DEC-035 prohíbe. — Las curvas de nivel se recalibran; el XP ya otorgado no debe verse afectado.</t>
        </is>
      </c>
    </row>
    <row r="211" ht="34.5" customHeight="1" s="36">
      <c r="A211" s="67" t="inlineStr">
        <is>
          <t>DEC-036</t>
        </is>
      </c>
      <c r="B211" s="68" t="inlineStr">
        <is>
          <t>Propuesta</t>
        </is>
      </c>
      <c r="C211" s="68" t="n"/>
      <c r="D211" s="69" t="inlineStr">
        <is>
          <t>Se premia comportamiento verificado, no resultados</t>
        </is>
      </c>
      <c r="E211" s="69" t="inlineStr">
        <is>
          <t>PROPUESTA</t>
        </is>
      </c>
      <c r="F211" s="69" t="inlineStr">
        <is>
          <t>C. A premia al algoritmo de Instagram, no al creador. B produce sobrecompromiso —creadores que aceptan lo que no pueden cumplir— y, en el caso de seguidores, desmotiva al micro-creador y premia el vector de fraude de R-04. Detalle en docs/13 §3. — ¿Sobre qué se otorga XP?</t>
        </is>
      </c>
    </row>
    <row r="212" ht="23.25" customHeight="1" s="36">
      <c r="A212" s="67" t="inlineStr">
        <is>
          <t>DEC-035</t>
        </is>
      </c>
      <c r="B212" s="68" t="inlineStr">
        <is>
          <t>Propuesta</t>
        </is>
      </c>
      <c r="C212" s="68" t="n"/>
      <c r="D212" s="69" t="inlineStr">
        <is>
          <t>El XP es append-only y nunca decrece</t>
        </is>
      </c>
      <c r="E212" s="69" t="inlineStr">
        <is>
          <t>PROPUESTA</t>
        </is>
      </c>
      <c r="F212" s="69" t="inlineStr">
        <is>
          <t>B. Quitar puntos se percibe como robo y destruye la confianza de golpe. Además sería castigar dos veces con el mecanismo equivocado. Mismo patrón que el ledger financiero: se corrige con asientos nuevos, no editando. — ¿Se puede restar XP por un incumplimiento?</t>
        </is>
      </c>
    </row>
    <row r="213" ht="45.75" customHeight="1" s="36">
      <c r="A213" s="67" t="inlineStr">
        <is>
          <t>DEC-034</t>
        </is>
      </c>
      <c r="B213" s="68" t="inlineStr">
        <is>
          <t>Propuesta</t>
        </is>
      </c>
      <c r="C213" s="68" t="n"/>
      <c r="D213" s="69" t="inlineStr">
        <is>
          <t>Gamificación como dominio propio (D13)</t>
        </is>
      </c>
      <c r="E213" s="69" t="inlineStr">
        <is>
          <t>PROPUESTA</t>
        </is>
      </c>
      <c r="F213" s="69" t="inlineStr">
        <is>
          <t>C. Igual que D12: si el motor se cae, la operación sigue igual. Y como se alimenta de eventos, el XP es recalculable: cambiar la tabla de puntos permite reprocesar el histórico. Si el XP se escribiera a mano en el momento, eso sería imposible. — XP, niveles, insignias, ligas, retos y referidos para el creador.</t>
        </is>
      </c>
    </row>
    <row r="214" ht="34.5" customHeight="1" s="36">
      <c r="A214" s="67" t="inlineStr">
        <is>
          <t>DEC-033</t>
        </is>
      </c>
      <c r="B214" s="68" t="inlineStr">
        <is>
          <t>Propuesta</t>
        </is>
      </c>
      <c r="C214" s="68" t="n"/>
      <c r="D214" s="69" t="inlineStr">
        <is>
          <t>Registrar la conexión emisora en cada documento</t>
        </is>
      </c>
      <c r="E214" s="69" t="inlineStr">
        <is>
          <t>PROPUESTA</t>
        </is>
      </c>
      <c r="F214" s="69" t="inlineStr">
        <is>
          <t>B, aplicado a comprobantes electrónicos, cobros por pasarela, pagos a creadores ejecutados por proveedor y correos enviados. — Paralelo exacto de DEC-019. Si dentro de un año hay que consultar ante el proveedor el estado del comprobante F001-00347, hay que saber por cuál se emitió.</t>
        </is>
      </c>
    </row>
    <row r="215" ht="23.25" customHeight="1" s="36">
      <c r="A215" s="67" t="inlineStr">
        <is>
          <t>DEC-032</t>
        </is>
      </c>
      <c r="B215" s="68" t="inlineStr">
        <is>
          <t>Propuesta</t>
        </is>
      </c>
      <c r="C215" s="68" t="n"/>
      <c r="D215" s="69" t="inlineStr">
        <is>
          <t>Compartibilidad declarada por propósito</t>
        </is>
      </c>
      <c r="E215" s="69" t="inlineStr">
        <is>
          <t>PROPUESTA</t>
        </is>
      </c>
      <c r="F215" s="69" t="inlineStr">
        <is>
          <t>B. Las credenciales de facturación pertenecen al contribuyente: una sociedad no puede emitir con el certificado de otra. Una validación se cumple; una recomendación en un manual, no. Reformula BR-LE-008 sin contradecirla: lo prohibido era la herencia implícita; compartir por asignación explícita es otra cosa, y aun así sigue vedado para lo fiscal. — El addendum permite que una conexión sirva a varias entidades legales. Correcto para almacenamiento o correo; peligroso para facturación.</t>
        </is>
      </c>
    </row>
    <row r="216" ht="23.25" customHeight="1" s="36">
      <c r="A216" s="67" t="inlineStr">
        <is>
          <t>DEC-031</t>
        </is>
      </c>
      <c r="B216" s="68" t="inlineStr">
        <is>
          <t>Propuesta</t>
        </is>
      </c>
      <c r="C216" s="68" t="n"/>
      <c r="D216" s="69" t="inlineStr">
        <is>
          <t>Una URL de webhook por conexión</t>
        </is>
      </c>
      <c r="E216" s="69" t="inlineStr">
        <is>
          <t>PROPUESTA</t>
        </is>
      </c>
      <c r="F216" s="69" t="inlineStr">
        <is>
          <t>B. El enrutado por URL hace la verificación de firma determinista y de un solo intento. Se acusa de inmediato (2xx) y se procesa en cola: un proveedor que no recibe respuesta en segundos reintenta y multiplica los eventos. — Con varias conexiones del mismo proveedor conviviendo, el payload entrante a menudo no identifica la sociedad, y probar firmas contra todos los secretos es lento e inseguro. El addendum enumera qué registrar de un webhook pero no resuelve de quién es.</t>
        </is>
      </c>
    </row>
    <row r="217" ht="45.75" customHeight="1" s="36">
      <c r="A217" s="67" t="inlineStr">
        <is>
          <t>DEC-030</t>
        </is>
      </c>
      <c r="B217" s="68" t="inlineStr">
        <is>
          <t>Propuesta</t>
        </is>
      </c>
      <c r="C217" s="68" t="n"/>
      <c r="D217" s="69" t="inlineStr">
        <is>
          <t>Cifrado sobre para las credenciales</t>
        </is>
      </c>
      <c r="E217" s="69" t="inlineStr">
        <is>
          <t>PROPUESTA</t>
        </is>
      </c>
      <c r="F217" s="69" t="inlineStr">
        <is>
          <t>B, con versionado en la rotación (no sobrescribir), escritura sin lectura desde la interfaz, y un filtro de redacción a nivel del logger — no "acordarse de no loguear". — El addendum señala que las credenciales pueden requerir almacenamiento distinto, sin concretar.</t>
        </is>
      </c>
    </row>
    <row r="218" ht="34.5" customHeight="1" s="36">
      <c r="A218" s="67" t="inlineStr">
        <is>
          <t>DEC-029</t>
        </is>
      </c>
      <c r="B218" s="68" t="inlineStr">
        <is>
          <t>Propuesta</t>
        </is>
      </c>
      <c r="C218" s="68" t="n"/>
      <c r="D218" s="69" t="inlineStr">
        <is>
          <t>Aislamiento de ambiente como barrera, no como filtro</t>
        </is>
      </c>
      <c r="E218" s="69" t="inlineStr">
        <is>
          <t>PROPUESTA</t>
        </is>
      </c>
      <c r="F218" s="69" t="inlineStr">
        <is>
          <t>B. La defensa no puede depender de que alguien haya configurado bien. — El fallo más caro posible de este diseño: una conexión de producción resolviéndose fuera de producción. Consecuencias reales: emitir comprobantes fiscales de verdad desde QA, cobrar tarjetas en una demo, o enviar correos reales a 150 creadores desde staging.</t>
        </is>
      </c>
    </row>
    <row r="219" ht="23.25" customHeight="1" s="36">
      <c r="A219" s="67" t="inlineStr">
        <is>
          <t>DEC-028</t>
        </is>
      </c>
      <c r="B219" s="68" t="inlineStr">
        <is>
          <t>Propuesta</t>
        </is>
      </c>
      <c r="C219" s="68" t="n"/>
      <c r="D219" s="69" t="inlineStr">
        <is>
          <t>Matriz de propósitos obligatorios por país</t>
        </is>
      </c>
      <c r="E219" s="69" t="inlineStr">
        <is>
          <t>PROPUESTA</t>
        </is>
      </c>
      <c r="F219" s="69" t="inlineStr">
        <is>
          <t>B, más un panel de cobertura en verde/rojo y una comprobación programada que avisa antes de que una credencial expirada rompa una operación. — Descubrir que no hay conexión de facturación para Ecuador al pulsar "emitir", con el cliente esperando, es un problema de diseño, no de configuración.</t>
        </is>
      </c>
    </row>
    <row r="220" ht="23.25" customHeight="1" s="36">
      <c r="A220" s="67" t="inlineStr">
        <is>
          <t>DEC-027</t>
        </is>
      </c>
      <c r="B220" s="68" t="inlineStr">
        <is>
          <t>Propuesta</t>
        </is>
      </c>
      <c r="C220" s="68" t="n"/>
      <c r="D220" s="69" t="inlineStr">
        <is>
          <t>Resolución por especificidad, con empates rechazados al guardar</t>
        </is>
      </c>
      <c r="E220" s="69" t="inlineStr">
        <is>
          <t>PROPUESTA</t>
        </is>
      </c>
      <c r="F220" s="69" t="inlineStr">
        <is>
          <t>B, y sobre todo: los empates no se resuelven en ejecución, se prohíben al guardar. Si dos asignaciones activas puntúan igual para la misma combinación, la interfaz rechaza el guardado y explica el conflicto. Así el resolver es siempre determinista y nadie descubre un empate emitiendo una factura. — El addendum propone una escalera de cuatro peldaños. Funciona, pero no contempla el eje de marca ni dice qué hacer ante un empate.</t>
        </is>
      </c>
    </row>
    <row r="221" ht="45.75" customHeight="1" s="36">
      <c r="A221" s="67" t="inlineStr">
        <is>
          <t>DEC-026</t>
        </is>
      </c>
      <c r="B221" s="68" t="inlineStr">
        <is>
          <t>Propuesta</t>
        </is>
      </c>
      <c r="C221" s="68" t="n"/>
      <c r="D221" s="69" t="inlineStr">
        <is>
          <t>purpose es un enum cerrado en código, no un catálogo editable</t>
        </is>
      </c>
      <c r="E221" s="69" t="inlineStr">
        <is>
          <t>PROPUESTA</t>
        </is>
      </c>
      <c r="F221" s="69" t="inlineStr">
        <is>
          <t>B. El código se ramifica por propósito: invoicing implica una interfaz con emit()/getStatus(); email_transactional implica otra distinta. Un propósito creado desde el panel produciría una conexión perfectamente configurada que ningún código sabe ejecutar. Los catálogos editables son para datos de negocio; los propósitos son contratos de código. — El addendum lista los propósitos como si fueran datos administrables.</t>
        </is>
      </c>
    </row>
    <row r="222" ht="34.5" customHeight="1" s="36">
      <c r="A222" s="67" t="inlineStr">
        <is>
          <t>DEC-025</t>
        </is>
      </c>
      <c r="B222" s="68" t="inlineStr">
        <is>
          <t>Propuesta</t>
        </is>
      </c>
      <c r="C222" s="68" t="n"/>
      <c r="D222" s="69" t="inlineStr">
        <is>
          <t>Proveedor / Conexión / Asignación como tres entidades</t>
        </is>
      </c>
      <c r="E222" s="69" t="inlineStr">
        <is>
          <t>PROPUESTA</t>
        </is>
      </c>
      <c r="F222" s="69" t="inlineStr">
        <is>
          <t>B, tal como propone el addendum. integration_providers es catálogo respaldado por código (un proveedor solo existe si hay adaptador); integration_connections es la configuración viva; integration_assignments es el alcance, con NULL significando "cualquiera" y con vigencia (valid_from/valid_to) igual que la cobertura de facturación. — Un proveedor puede tener varias conexiones (producción, sandbox, por sociedad) y cada conexión puede aplicar a varios ámbitos.</t>
        </is>
      </c>
    </row>
    <row r="223" ht="23.85" customHeight="1" s="36">
      <c r="A223" s="67" t="inlineStr">
        <is>
          <t>DEC-024</t>
        </is>
      </c>
      <c r="B223" s="68" t="inlineStr">
        <is>
          <t>Propuesta</t>
        </is>
      </c>
      <c r="C223" s="68" t="n"/>
      <c r="D223" s="69" t="inlineStr">
        <is>
          <t>Las integraciones son un subsistema propio, no Settings</t>
        </is>
      </c>
      <c r="E223" s="69" t="inlineStr">
        <is>
          <t>PROPUESTA</t>
        </is>
      </c>
      <c r="F223" s="69" t="inlineStr">
        <is>
          <t>B. Un ajuste resuelve un valor; una integración resuelve una conexión viva que tiene estado, ciclo de vida y que falla. Además necesita dos ejes más (purpose, environment). Lo que sí se unifica son los nombres de los niveles, para que nadie confunda "global" con "plataforma". — DEC-018 ya definió una configuración jerárquica. La tentación es meter las integraciones dentro.</t>
        </is>
      </c>
    </row>
    <row r="224" ht="46.25" customHeight="1" s="36">
      <c r="A224" s="67" t="inlineStr">
        <is>
          <t>DEC-023</t>
        </is>
      </c>
      <c r="B224" s="68" t="inlineStr">
        <is>
          <t>Propuesta</t>
        </is>
      </c>
      <c r="C224" s="68" t="n"/>
      <c r="D224" s="69" t="inlineStr">
        <is>
          <t>Identidad dual en comunicaciones</t>
        </is>
      </c>
      <c r="E224" s="69" t="inlineStr">
        <is>
          <t>PROPUESTA</t>
        </is>
      </c>
      <c r="F224" s="69" t="inlineStr">
        <is>
          <t>C. El creador y la marca cliente se relacionan con LATAM Social; las facturas, contratos y comunicaciones de cobranza deben identificar a la sociedad que responde legalmente. Implica remitente configurable por entidad para los correos de facturación. — ¿Los correos salen de "LATAM Social" o de "Soluciones Tecnológicas a Medida S.A.C."?</t>
        </is>
      </c>
    </row>
    <row r="225" ht="35.05" customHeight="1" s="36">
      <c r="A225" s="67" t="inlineStr">
        <is>
          <t>DEC-022</t>
        </is>
      </c>
      <c r="B225" s="68" t="inlineStr">
        <is>
          <t>Propuesta</t>
        </is>
      </c>
      <c r="C225" s="68" t="n"/>
      <c r="D225" s="69" t="inlineStr">
        <is>
          <t>Monedas: no derivar del país de la entidad</t>
        </is>
      </c>
      <c r="E225" s="69" t="inlineStr">
        <is>
          <t>PROPUESTA</t>
        </is>
      </c>
      <c r="F225" s="69" t="inlineStr">
        <is>
          <t>B. Coherente con BR-FIN-004 y BR-FIN-009, que ya exigían no asumir una sola moneda. — §11 del addendum. CTS Perú puede facturar en PEN a un cliente peruano y en USD a uno ecuatoriano.</t>
        </is>
      </c>
    </row>
    <row r="226">
      <c r="A226" s="67" t="inlineStr">
        <is>
          <t>DEC-021</t>
        </is>
      </c>
      <c r="B226" s="68" t="inlineStr">
        <is>
          <t>Propuesta</t>
        </is>
      </c>
      <c r="C226" s="68" t="n"/>
      <c r="D226" s="69" t="inlineStr">
        <is>
          <t>Series y numeración correlativa por entidad legal</t>
        </is>
      </c>
      <c r="E226" s="69" t="inlineStr">
        <is>
          <t>PROPUESTA</t>
        </is>
      </c>
      <c r="F226" s="69" t="inlineStr">
        <is>
          <t>C. A no permite series por entidad y deja huecos ante transacciones revertidas. B bloquea una fila que se lee constantemente. C aísla el punto de contención. — En Perú la numeración por serie debe ser correlativa y sin huecos. Con varias sociedades hay varios contadores independientes, y bajo concurrencia dos facturas simultáneas pueden tomar el mismo número o saltarse uno.</t>
        </is>
      </c>
    </row>
    <row r="227">
      <c r="A227" s="67" t="inlineStr">
        <is>
          <t>DEC-020</t>
        </is>
      </c>
      <c r="B227" s="68" t="inlineStr">
        <is>
          <t>Decidida</t>
        </is>
      </c>
      <c r="C227" s="68" t="n"/>
      <c r="D227" s="69" t="inlineStr">
        <is>
          <t>Entidad que factura vs. entidad que liquida al creador</t>
        </is>
      </c>
      <c r="E227" s="69" t="inlineStr">
        <is>
          <t xml:space="preserve">✅ DECIDIDA (2026-08-27) por DEC-156: opción C, y sin el «en el MVP». La sociedad de la campaña paga a todos sus creadores, sea cual sea el país de cada uno (BR-LE-009, ahora 🔴). Dónde se comprueba lo </t>
        </is>
      </c>
      <c r="F227" s="69" t="inlineStr">
        <is>
          <t>C. A cierra la puerta; B la deja abierta para que alguien la cruce sin darse cuenta un martes por la tarde y genere una contingencia fiscal. C conserva la flexibilidad del modelo y exige una decisión consciente, respaldada por asesoría fiscal, para habilitarla. — §12 del addendum pide separar ambos conceptos. Pero si divergen, aparece una operación intercompañía entre dos sociedades del grupo, con precios de transferencia, documentación ante la autoridad tributaria, consolidación contable y posible retención en la fuente.</t>
        </is>
      </c>
    </row>
    <row r="228">
      <c r="A228" s="67" t="inlineStr">
        <is>
          <t>DEC-019</t>
        </is>
      </c>
      <c r="B228" s="68" t="inlineStr">
        <is>
          <t>Propuesta</t>
        </is>
      </c>
      <c r="C228" s="68" t="n"/>
      <c r="D228" s="69" t="inlineStr">
        <is>
          <t>Entidad legal explícita e inmutable en cada documento</t>
        </is>
      </c>
      <c r="E228" s="69" t="inlineStr">
        <is>
          <t>PROPUESTA</t>
        </is>
      </c>
      <c r="F228" s="69" t="inlineStr">
        <is>
          <t>C. A es un error silencioso: no da error, no rompe nada, y falsifica retroactivamente todos los documentos históricos. La clave foránea sola tampoco basta: si la sociedad cambia de domicilio, la factura antigua debe seguir mostrando el domicilio antiguo. — §14 del addendum. Si mañana Ecuador pasa a facturarse desde otra sociedad, las facturas de ayer deben seguir diciendo lo que decían ayer.</t>
        </is>
      </c>
    </row>
    <row r="229">
      <c r="A229" s="67" t="inlineStr">
        <is>
          <t>DEC-018</t>
        </is>
      </c>
      <c r="B229" s="68" t="inlineStr">
        <is>
          <t>Propuesta</t>
        </is>
      </c>
      <c r="C229" s="68" t="n"/>
      <c r="D229" s="69" t="inlineStr">
        <is>
          <t>Configuración jerárquica en cascada</t>
        </is>
      </c>
      <c r="E229" s="69" t="inlineStr">
        <is>
          <t>PROPUESTA</t>
        </is>
      </c>
      <c r="F229" s="69" t="inlineStr">
        <is>
          <t>B, con dos condiciones no negociables: la interfaz debe mostrar siempre de dónde viene el valor efectivo, y los secretos se cifran por entidad y nunca se heredan. — La configuración deja de ser global: hay ajustes de plataforma, de marca, de entidad legal y de (entidad × país).</t>
        </is>
      </c>
    </row>
    <row r="230">
      <c r="A230" s="67" t="inlineStr">
        <is>
          <t>DEC-017</t>
        </is>
      </c>
      <c r="B230" s="68" t="inlineStr">
        <is>
          <t>Propuesta</t>
        </is>
      </c>
      <c r="C230" s="68" t="n"/>
      <c r="D230" s="69" t="inlineStr">
        <is>
          <t>Cobertura de facturación como relación N:M con vigencia</t>
        </is>
      </c>
      <c r="E230" s="69" t="inlineStr">
        <is>
          <t>PROPUESTA</t>
        </is>
      </c>
      <c r="F230" s="69" t="inlineStr">
        <is>
          <t>C. A es directamente incorrecta. B pierde la información de *cuándo* dejó de aplicar una cobertura, y eso hace imposible auditar por qué una factura de 2027 salió de una sociedad y una de 2029 de otra. La vigencia es lo que permite la evolución del §15 del addendum sin destruir historia. — Una sociedad puede facturar clientes de varios países, y un país puede ser atendido por más de una sociedad.</t>
        </is>
      </c>
    </row>
    <row r="231">
      <c r="A231" s="67" t="inlineStr">
        <is>
          <t>DEC-016</t>
        </is>
      </c>
      <c r="B231" s="68" t="inlineStr">
        <is>
          <t>Propuesta</t>
        </is>
      </c>
      <c r="C231" s="68" t="n"/>
      <c r="D231" s="69" t="inlineStr">
        <is>
          <t>Desambiguación de los conceptos organizacionales</t>
        </is>
      </c>
      <c r="E231" s="69" t="inlineStr">
        <is>
          <t>PROPUESTA</t>
        </is>
      </c>
      <c r="F231" s="69" t="inlineStr">
        <is>
          <t>B. A garantiza que en seis meses nadie sepa si brand_id apunta a LATAM Social o a Shampoo ABC. Es la fuente número uno de errores de datos en sistemas multi-entidad. — El addendum introduce "marca de plataforma" (LATAM Social) y "entidad legal" (la sociedad). El modelo anterior ya usaba Brand para la marca del cliente. Cuatro conceptos organizacionales con nombres que se pisan.</t>
        </is>
      </c>
    </row>
    <row r="232">
      <c r="A232" s="67" t="inlineStr">
        <is>
          <t>DEC-015</t>
        </is>
      </c>
      <c r="B232" s="68" t="inlineStr">
        <is>
          <t>Propuesta</t>
        </is>
      </c>
      <c r="C232" s="68" t="n"/>
      <c r="D232" s="69" t="inlineStr">
        <is>
          <t>Retención y minimización de datos personales</t>
        </is>
      </c>
      <c r="E232" s="69" t="inlineStr">
        <is>
          <t>PROPUESTA — requiere validación legal</t>
        </is>
      </c>
      <c r="F232" s="69" t="inlineStr">
        <is>
          <t>B. Además: la dirección de envío se purga N meses después de la campaña; las copias de documentos de identidad, si se recogen, se cifran y tienen la retención más corta legalmente posible. Menos datos = menos riesgo. — Se recopilan documento de identidad, fecha de nacimiento, dirección, datos bancarios y dirección de envío de cientos de personas.</t>
        </is>
      </c>
    </row>
    <row r="233">
      <c r="A233" s="67" t="inlineStr">
        <is>
          <t>DEC-014</t>
        </is>
      </c>
      <c r="B233" s="68" t="inlineStr">
        <is>
          <t>Propuesta</t>
        </is>
      </c>
      <c r="C233" s="68" t="n"/>
      <c r="D233" s="69" t="inlineStr">
        <is>
          <t>Modelo de derechos de uso del contenido</t>
        </is>
      </c>
      <c r="E233" s="69" t="inlineStr">
        <is>
          <t>PROPUESTA</t>
        </is>
      </c>
      <c r="F233" s="69" t="inlineStr">
        <is>
          <t>B. Además, alertas de vencimiento: usar contenido después de que expiró la licencia es una infracción con consecuencias legales para el cliente y reputacionales para el operador. — Lo que la marca realmente compra es una licencia. Modelarlo como un booleano "cede derechos: sí/no" es insuficiente y genera disputas.</t>
        </is>
      </c>
    </row>
    <row r="234">
      <c r="A234" s="67" t="inlineStr">
        <is>
          <t>DEC-013</t>
        </is>
      </c>
      <c r="B234" s="68" t="inlineStr">
        <is>
          <t>Propuesta</t>
        </is>
      </c>
      <c r="C234" s="68" t="n"/>
      <c r="D234" s="69" t="inlineStr">
        <is>
          <t>Alcance del portal de la marca en el MVP</t>
        </is>
      </c>
      <c r="E234" s="69" t="inlineStr">
        <is>
          <t>PROPUESTA</t>
        </is>
      </c>
      <c r="F234" s="69" t="inlineStr">
        <is>
          <t>B. Entrega el 90% del valor percibido con el 15% del esfuerzo, y es el camino natural hacia A en F13. Requiere cuidado en seguridad: enlaces de un solo destinatario, con expiración, revocables y auditados. — Con 3 marcas, construir un portal con cuentas, roles, facturación y documentos es esfuerzo desproporcionado.</t>
        </is>
      </c>
    </row>
    <row r="235">
      <c r="A235" s="67" t="inlineStr">
        <is>
          <t>DEC-012</t>
        </is>
      </c>
      <c r="B235" s="68" t="inlineStr">
        <is>
          <t>Propuesta</t>
        </is>
      </c>
      <c r="C235" s="68" t="n"/>
      <c r="D235" s="69" t="inlineStr">
        <is>
          <t>Longitud del formulario de lead B2B</t>
        </is>
      </c>
      <c r="E235" s="69" t="inlineStr">
        <is>
          <t>PROPUESTA</t>
        </is>
      </c>
      <c r="F235" s="69" t="inlineStr">
        <is>
          <t>B: empresa, nombre, email corporativo, teléfono/WhatsApp, país, objetivo, mensaje. El resto (presupuesto, cantidad de creadores, países objetivo, industria) se captura en la conversación comercial y se guarda en el CRM. UTM, landing y origen se capturan ocultos, siempre. — La spec lista 16 campos. Cada campo adicional reduce la conversión.</t>
        </is>
      </c>
    </row>
    <row r="236">
      <c r="A236" s="67" t="inlineStr">
        <is>
          <t>DEC-011</t>
        </is>
      </c>
      <c r="B236" s="68" t="inlineStr">
        <is>
          <t>Propuesta</t>
        </is>
      </c>
      <c r="C236" s="68" t="n"/>
      <c r="D236" s="69" t="inlineStr">
        <is>
          <t>¿La plataforma publica en las redes del creador?</t>
        </is>
      </c>
      <c r="E236" s="69" t="inlineStr">
        <is>
          <t>PROPUESTA</t>
        </is>
      </c>
      <c r="F236" s="69" t="inlineStr">
        <is>
          <t>B. A añade riesgo de cuenta, complejidad enorme y las APIs cambian sin aviso. La verificación posterior aporta casi todo el valor con una fracción del costo. — Publicar automáticamente requiere permisos amplios, es frágil y las plataformas lo restringen.</t>
        </is>
      </c>
    </row>
    <row r="237">
      <c r="A237" s="67" t="inlineStr">
        <is>
          <t>DEC-010</t>
        </is>
      </c>
      <c r="B237" s="68" t="inlineStr">
        <is>
          <t>Propuesta</t>
        </is>
      </c>
      <c r="C237" s="68" t="n"/>
      <c r="D237" s="69" t="inlineStr">
        <is>
          <t>Estado de campaña vs. estado de participación</t>
        </is>
      </c>
      <c r="E237" s="69" t="inlineStr">
        <is>
          <t>PROPUESTA</t>
        </is>
      </c>
      <c r="F237" s="69" t="inlineStr">
        <is>
          <t>B, obligatoriamente. A es el error de diseño más frecuente y más caro en plataformas de este tipo: obliga a hacks inmediatos y hace imposible el reporte de avance. — Una campaña live puede tener creadores aún en revisión.</t>
        </is>
      </c>
    </row>
    <row r="238">
      <c r="A238" s="67" t="inlineStr">
        <is>
          <t>DEC-009</t>
        </is>
      </c>
      <c r="B238" s="68" t="inlineStr">
        <is>
          <t>Propuesta</t>
        </is>
      </c>
      <c r="C238" s="68" t="n"/>
      <c r="D238" s="69" t="inlineStr">
        <is>
          <t>Origen de los datos de audiencia</t>
        </is>
      </c>
      <c r="E238" s="69" t="inlineStr">
        <is>
          <t>PROPUESTA</t>
        </is>
      </c>
      <c r="F238" s="69" t="inlineStr">
        <is>
          <t>A en el MVP (manual + evidencia + chequeos de coherencia), B en F12–F14, C evaluado por costo cuando el volumen lo justifique: comprar datos verificados suele ser más barato que construir y mantener integraciones con 6 plataformas. — Los datos autodeclarados son el principal vector de fraude. Las APIs oficiales exigen que el creador conecte su cuenta (Instagram/Facebook requieren cuenta Business/Creator y autorización explícita; TikTok y YouTube tienen sus propios programas).</t>
        </is>
      </c>
    </row>
    <row r="239">
      <c r="A239" s="67" t="inlineStr">
        <is>
          <t>DEC-008</t>
        </is>
      </c>
      <c r="B239" s="68" t="inlineStr">
        <is>
          <t>Propuesta</t>
        </is>
      </c>
      <c r="C239" s="68" t="n"/>
      <c r="D239" s="69" t="inlineStr">
        <is>
          <t>Almacenamiento de archivos</t>
        </is>
      </c>
      <c r="E239" s="69" t="inlineStr">
        <is>
          <t>PROPUESTA</t>
        </is>
      </c>
      <c r="F239" s="69" t="inlineStr">
        <is>
          <t>B, sin excepción. A rompe el despliegue en más de un servidor, complica los backups, no escala y migrar después implica reescribir rutas de miles de archivos. Cloudflare R2 o Backblaze B2 tienen costo de egreso muy bajo, relevante porque los clientes descargarán contenido. — Campañas UGC generan video pesado (0,5–3 GB por campaña).</t>
        </is>
      </c>
    </row>
    <row r="240">
      <c r="A240" s="67" t="inlineStr">
        <is>
          <t>DEC-007</t>
        </is>
      </c>
      <c r="B240" s="68" t="inlineStr">
        <is>
          <t>Propuesta</t>
        </is>
      </c>
      <c r="C240" s="68" t="n"/>
      <c r="D240" s="69" t="inlineStr">
        <is>
          <t>Pasarela de pago (Culqi) en el MVP</t>
        </is>
      </c>
      <c r="E240" s="69" t="inlineStr">
        <is>
          <t>PROPUESTA</t>
        </is>
      </c>
      <c r="F240" s="69" t="inlineStr">
        <is>
          <t>B. Se construye la abstracción (PaymentGatewayInterface) pero no la integración. Si aparece un segmento de ticket bajo (p. ej. paquetes autoservicio para pymes), se activa. — La spec pide integrar Culqi. Pero en B2B LATAM, campañas de miles de soles se pagan por transferencia contra factura, no con tarjeta. Una campaña de S/ 30.000 no se cobra con tarjeta (comisión ~3,5% = S/ 1.050 regalados).</t>
        </is>
      </c>
    </row>
    <row r="241">
      <c r="A241" s="67" t="inlineStr">
        <is>
          <t>DEC-006</t>
        </is>
      </c>
      <c r="B241" s="68" t="inlineStr">
        <is>
          <t>Propuesta</t>
        </is>
      </c>
      <c r="C241" s="68" t="n"/>
      <c r="D241" s="69" t="inlineStr">
        <is>
          <t>Separación Aplicación vs. Creador</t>
        </is>
      </c>
      <c r="E241" s="69" t="inlineStr">
        <is>
          <t>PROPUESTA</t>
        </is>
      </c>
      <c r="F241" s="69" t="inlineStr">
        <is>
          <t>B. Permite reaplicaciones, conserva el histórico de rechazos y evita que un rechazo contamine la entidad permanente. — La spec mezcla el ciclo de vida de la solicitud con el del creador.</t>
        </is>
      </c>
    </row>
    <row r="242">
      <c r="A242" s="67" t="inlineStr">
        <is>
          <t>DEC-005</t>
        </is>
      </c>
      <c r="B242" s="68" t="inlineStr">
        <is>
          <t>Decidida</t>
        </is>
      </c>
      <c r="C242" s="68" t="n"/>
      <c r="D242" s="69" t="inlineStr">
        <is>
          <t>Régimen legal y tributario del pago al creador ✅ RESUELTA (parcial)</t>
        </is>
      </c>
      <c r="E242" s="69" t="inlineStr">
        <is>
          <t>✅ APROBADA para creadores peruanos · 🔴 Q-33 abierta para extranjeros (bloquea F9 solo en ese caso)</t>
        </is>
      </c>
      <c r="F242" s="69" t="inlineStr">
        <is>
          <t>C, con la vía simplificada definida por un contador. Y en cualquier caso: el sistema debe modelar tax_regime por creador y por país, con requisitos documentales configurables por régimen, y bloquear el pago si falta el documento requerido. — En Perú, pagar a una persona natural por un servicio exige normalmente comprobante (recibo por honorarios electrónico) y puede implicar retención de renta de 4.ª categoría, con umbrales y suspensión de retención. Muchos micro-creadores no tienen RUC ni emiten comprobantes. Sin resolver esto, no se puede pagar legalmente a escala.</t>
        </is>
      </c>
    </row>
    <row r="243">
      <c r="A243" s="67" t="inlineStr">
        <is>
          <t>DEC-004</t>
        </is>
      </c>
      <c r="B243" s="68" t="inlineStr">
        <is>
          <t>Propuesta</t>
        </is>
      </c>
      <c r="C243" s="68" t="n"/>
      <c r="D243" s="69" t="inlineStr">
        <is>
          <t>Modelo económico: principal vs. comisión</t>
        </is>
      </c>
      <c r="E243" s="69" t="inlineStr">
        <is>
          <t>PROPUESTA — confirmar con el contador</t>
        </is>
      </c>
      <c r="F243" s="69" t="inlineStr">
        <is>
          <t>A, coherente con §53 de la especificación (Revenue − Creator Cost = Margen). Determina el modelo fiscal, contable y financiero completo. — ¿El operador vende la campaña y compra el contenido (reventa), o cobra una comisión sobre una transacción entre marca y creador?</t>
        </is>
      </c>
    </row>
    <row r="244">
      <c r="A244" s="67" t="inlineStr">
        <is>
          <t>DEC-003</t>
        </is>
      </c>
      <c r="B244" s="68" t="inlineStr">
        <is>
          <t>Propuesta</t>
        </is>
      </c>
      <c r="C244" s="68" t="n"/>
      <c r="D244" s="69" t="inlineStr">
        <is>
          <t>Estrategia de frontend</t>
        </is>
      </c>
      <c r="E244" s="69" t="inlineStr">
        <is>
          <t>PROPUESTA</t>
        </is>
      </c>
      <c r="F244" s="69" t="inlineStr">
        <is>
          <t>A. B duplica el trabajo y, sobre todo, duplica la autorización —el punto donde este sistema más se puede romper—. El portal del creador se entrega como PWA instalable con A. — Cuatro portales con necesidades distintas. Equipo pequeño.</t>
        </is>
      </c>
    </row>
    <row r="245">
      <c r="A245" s="67" t="inlineStr">
        <is>
          <t>DEC-002</t>
        </is>
      </c>
      <c r="B245" s="68" t="inlineStr">
        <is>
          <t>Decidida</t>
        </is>
      </c>
      <c r="C245" s="68" t="n"/>
      <c r="D245" s="69" t="inlineStr">
        <is>
          <t>Multitenancy ✅ RESUELTA</t>
        </is>
      </c>
      <c r="E245" s="69" t="inlineStr">
        <is>
          <t>✅ APROBADA (decisión del negocio, 2026-08-21)</t>
        </is>
      </c>
      <c r="F245" s="69" t="inlineStr">
        <is>
          <t xml:space="preserve"> — Hoy hay un solo operador. La spec contempla agencias y white-label a futuro (§78).</t>
        </is>
      </c>
    </row>
    <row r="246">
      <c r="A246" s="67" t="inlineStr">
        <is>
          <t>DEC-001</t>
        </is>
      </c>
      <c r="B246" s="68" t="inlineStr">
        <is>
          <t>Decidida</t>
        </is>
      </c>
      <c r="C246" s="68" t="n"/>
      <c r="D246" s="69" t="inlineStr">
        <is>
          <t>Framework PHP</t>
        </is>
      </c>
      <c r="E246" s="69" t="inlineStr">
        <is>
          <t>✅ APROBADA (2026-08-22). Proyecto creado: ver tools/bootstrap-laravel.ps1 y CONTRIBUTING.md</t>
        </is>
      </c>
      <c r="F246" s="69" t="inlineStr">
        <is>
          <t>A — Laravel 12. C queda descartada: construir a mano autenticación, colas, migraciones y abstracción de storage añadiría 3–5 meses de trabajo indiferenciado y una superficie de seguridad propia que nadie audita. B es defendible si el equipo ya domina Symfony. — La spec exige PHP 8.3 y "MVC o equivalente bien estructurado", y a la vez pide migraciones, seeders, colas, scheduler, cache, logs, SMTP, webhooks, RBAC, i18n y tests. Todo eso ya existe, probado en producción, en los frameworks maduros.</t>
        </is>
      </c>
    </row>
    <row r="247">
      <c r="A247" s="67" t="inlineStr">
        <is>
          <t>DEC-000</t>
        </is>
      </c>
      <c r="B247" s="68" t="inlineStr">
        <is>
          <t>Decidida</t>
        </is>
      </c>
      <c r="C247" s="68" t="n"/>
      <c r="D247" s="69" t="inlineStr">
        <is>
          <t>Nombre del producto y dominio ✅ RESUELTA</t>
        </is>
      </c>
      <c r="E247" s="69" t="inlineStr">
        <is>
          <t>✅ APROBADA (addendum 2026-08-21)</t>
        </is>
      </c>
      <c r="F247" s="69" t="inlineStr">
        <is>
          <t>El addendum del 2026-08-21 lo define: la marca de plataforma es LATAM Social. El identificador técnico del proyecto pasa a latam-social. El nombre de trabajo provisional "CTS Creators" queda descartado. — El repositorio se llama ManageCampaingInfluencer (con error ortográfico). El nombre afecta marca, dominio, correos y branding.</t>
        </is>
      </c>
    </row>
  </sheetData>
  <autoFilter ref="A2:F201"/>
  <mergeCells count="1">
    <mergeCell ref="A1:F1"/>
  </mergeCells>
  <conditionalFormatting sqref="B3:B201">
    <cfRule type="cellIs" rank="0" priority="2" equalAverage="0" operator="equal" aboveAverage="0" dxfId="20" text="" percent="0" bottom="0">
      <formula>"Decidida"</formula>
    </cfRule>
    <cfRule type="cellIs" rank="0" priority="3" equalAverage="0" operator="equal" aboveAverage="0" dxfId="21" text="" percent="0" bottom="0">
      <formula>"Propuesta"</formula>
    </cfRule>
  </conditionalFormatting>
  <conditionalFormatting sqref="C3:C201">
    <cfRule type="cellIs" rank="0" priority="4" equalAverage="0" operator="equal" aboveAverage="0" dxfId="19" text="" percent="0" bottom="0">
      <formula>"Critica"</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2026-08-26T14:05:21Z</dcterms:created>
  <dcterms:modified xmlns:dcterms="http://purl.org/dc/terms/" xmlns:xsi="http://www.w3.org/2001/XMLSchema-instance" xsi:type="dcterms:W3CDTF">2026-09-01T04:25:12Z</dcterms:modified>
  <cp:revision>0</cp:revision>
</cp:coreProperties>
</file>