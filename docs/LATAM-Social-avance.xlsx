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Config" sheetId="2" state="visible" r:id="rId2"/>
    <sheet xmlns:r="http://schemas.openxmlformats.org/officeDocument/2006/relationships" name="Actividades" sheetId="3" state="visible" r:id="rId3"/>
    <sheet xmlns:r="http://schemas.openxmlformats.org/officeDocument/2006/relationships" name="Tareas" sheetId="4" state="visible" r:id="rId4"/>
    <sheet xmlns:r="http://schemas.openxmlformats.org/officeDocument/2006/relationships" name="Preguntas" sheetId="5" state="visible" r:id="rId5"/>
    <sheet xmlns:r="http://schemas.openxmlformats.org/officeDocument/2006/relationships" name="Decisiones" sheetId="6" state="visible" r:id="rId6"/>
  </sheets>
  <definedNames>
    <definedName name="_xlnm._FilterDatabase" localSheetId="2" hidden="1">'Actividades'!$A$1:$J$174</definedName>
    <definedName name="_xlnm._FilterDatabase" localSheetId="3" hidden="1">'Tareas'!$A$2:$G$65</definedName>
    <definedName name="_xlnm._FilterDatabase" localSheetId="4" hidden="1">'Preguntas'!$A$2:$G$60</definedName>
    <definedName name="_xlnm._FilterDatabase" localSheetId="5" hidden="1">'Decisiones'!$A$2:$F$201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color rgb="FF1F3864"/>
      <sz val="14"/>
    </font>
    <font>
      <name val="Arial"/>
      <charset val="1"/>
      <family val="0"/>
      <b val="1"/>
      <color rgb="FFFFFFFF"/>
      <sz val="10"/>
    </font>
    <font>
      <name val="Arial"/>
      <charset val="1"/>
      <family val="0"/>
      <b val="1"/>
      <sz val="11"/>
    </font>
    <font>
      <name val="Arial"/>
      <charset val="1"/>
      <family val="0"/>
      <b val="1"/>
      <color rgb="FF006100"/>
      <sz val="10"/>
    </font>
    <font>
      <name val="Arial"/>
      <charset val="1"/>
      <family val="0"/>
      <b val="1"/>
      <color rgb="FF9C5700"/>
      <sz val="10"/>
    </font>
    <font>
      <name val="Arial"/>
      <charset val="1"/>
      <family val="0"/>
      <b val="1"/>
      <color rgb="FF595959"/>
      <sz val="10"/>
    </font>
    <font>
      <name val="Arial"/>
      <charset val="1"/>
      <family val="0"/>
      <b val="1"/>
      <color rgb="FF9C0006"/>
      <sz val="10"/>
    </font>
    <font>
      <name val="Arial"/>
      <charset val="1"/>
      <family val="0"/>
      <b val="1"/>
      <color rgb="FF1F4E79"/>
      <sz val="10"/>
    </font>
    <font>
      <name val="Arial"/>
      <charset val="1"/>
      <family val="0"/>
      <b val="1"/>
      <color rgb="FFA6A6A6"/>
      <sz val="10"/>
    </font>
    <font>
      <name val="Arial"/>
      <charset val="1"/>
      <family val="0"/>
      <sz val="10"/>
    </font>
    <font>
      <name val="Arial"/>
      <charset val="1"/>
      <family val="0"/>
      <b val="1"/>
      <color rgb="FF1F3864"/>
      <sz val="12"/>
    </font>
    <font>
      <name val="Arial"/>
      <charset val="1"/>
      <family val="0"/>
      <i val="1"/>
      <color rgb="FF808080"/>
      <sz val="9"/>
    </font>
    <font>
      <name val="Arial"/>
      <charset val="1"/>
      <family val="0"/>
      <i val="1"/>
      <sz val="10"/>
    </font>
    <font>
      <name val="Arial"/>
      <charset val="1"/>
      <family val="0"/>
      <b val="1"/>
      <sz val="10"/>
    </font>
  </fonts>
  <fills count="9">
    <fill>
      <patternFill/>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0" fontId="15" fillId="0" borderId="1" applyAlignment="1" pivotButton="0" quotePrefix="0" xfId="0">
      <alignment horizontal="center" vertical="center"/>
    </xf>
    <xf numFmtId="0" fontId="0" fillId="0" borderId="0" applyAlignment="1" pivotButton="0" quotePrefix="0" xfId="0">
      <alignment horizontal="general" vertical="bottom"/>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center" vertical="center"/>
    </xf>
    <xf numFmtId="164" fontId="8" fillId="0" borderId="0" applyAlignment="1" pivotButton="0" quotePrefix="0" xfId="0">
      <alignment horizontal="general" vertical="bottom"/>
    </xf>
    <xf numFmtId="1" fontId="8" fillId="0" borderId="0" applyAlignment="1" pivotButton="0" quotePrefix="0" xfId="0">
      <alignment horizontal="general" vertical="bottom"/>
    </xf>
    <xf numFmtId="0" fontId="9" fillId="3" borderId="0" applyAlignment="1" pivotButton="0" quotePrefix="0" xfId="0">
      <alignment horizontal="general" vertical="bottom"/>
    </xf>
    <xf numFmtId="164" fontId="0" fillId="0" borderId="0" applyAlignment="1" pivotButton="0" quotePrefix="0" xfId="0">
      <alignment horizontal="general" vertical="bottom"/>
    </xf>
    <xf numFmtId="0" fontId="10" fillId="4" borderId="0" applyAlignment="1" pivotButton="0" quotePrefix="0" xfId="0">
      <alignment horizontal="general" vertical="bottom"/>
    </xf>
    <xf numFmtId="0" fontId="11" fillId="5" borderId="0" applyAlignment="1" pivotButton="0" quotePrefix="0" xfId="0">
      <alignment horizontal="general" vertical="bottom"/>
    </xf>
    <xf numFmtId="0" fontId="12" fillId="6" borderId="0" applyAlignment="1" pivotButton="0" quotePrefix="0" xfId="0">
      <alignment horizontal="general" vertical="bottom"/>
    </xf>
    <xf numFmtId="0" fontId="13" fillId="7" borderId="0" applyAlignment="1" pivotButton="0" quotePrefix="0" xfId="0">
      <alignment horizontal="general" vertical="bottom"/>
    </xf>
    <xf numFmtId="0" fontId="14" fillId="8" borderId="0" applyAlignment="1" pivotButton="0" quotePrefix="0" xfId="0">
      <alignment horizontal="general" vertical="bottom"/>
    </xf>
    <xf numFmtId="0" fontId="15"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2" borderId="0" applyAlignment="1" pivotButton="0" quotePrefix="0" xfId="0">
      <alignment horizontal="general" vertical="bottom"/>
    </xf>
    <xf numFmtId="0" fontId="15" fillId="0" borderId="0" applyAlignment="1" pivotButton="0" quotePrefix="0" xfId="0">
      <alignment horizontal="general" vertical="bottom"/>
    </xf>
    <xf numFmtId="0" fontId="16" fillId="0" borderId="0" applyAlignment="1" pivotButton="0" quotePrefix="0" xfId="0">
      <alignment horizontal="general" vertical="bottom"/>
    </xf>
    <xf numFmtId="9" fontId="15" fillId="0" borderId="0" applyAlignment="1" pivotButton="0" quotePrefix="0" xfId="0">
      <alignment horizontal="general" vertical="bottom"/>
    </xf>
    <xf numFmtId="0" fontId="17" fillId="0" borderId="0" applyAlignment="1" pivotButton="0" quotePrefix="0" xfId="0">
      <alignment horizontal="general" vertical="bottom"/>
    </xf>
    <xf numFmtId="0" fontId="15" fillId="0" borderId="1" applyAlignment="1" pivotButton="0" quotePrefix="0" xfId="0">
      <alignment horizontal="general" vertical="top"/>
    </xf>
    <xf numFmtId="0" fontId="15" fillId="0" borderId="1" applyAlignment="1" pivotButton="0" quotePrefix="0" xfId="0">
      <alignment horizontal="center" vertical="top"/>
    </xf>
    <xf numFmtId="0" fontId="15" fillId="0" borderId="1" applyAlignment="1" pivotButton="0" quotePrefix="0" xfId="0">
      <alignment horizontal="general" vertical="top" wrapText="1"/>
    </xf>
    <xf numFmtId="0" fontId="15" fillId="0" borderId="1" applyAlignment="1" pivotButton="0" quotePrefix="0" xfId="0">
      <alignment horizontal="center" vertical="center"/>
    </xf>
    <xf numFmtId="9" fontId="15" fillId="0" borderId="1" applyAlignment="1" pivotButton="0" quotePrefix="0" xfId="0">
      <alignment horizontal="center" vertical="center"/>
    </xf>
    <xf numFmtId="9" fontId="0" fillId="0" borderId="0" applyAlignment="1" pivotButton="0" quotePrefix="0" xfId="0">
      <alignment horizontal="general" vertical="bottom"/>
    </xf>
    <xf numFmtId="0" fontId="18" fillId="0" borderId="0" applyAlignment="1" pivotButton="0" quotePrefix="0" xfId="0">
      <alignment horizontal="general" vertical="center" wrapText="1"/>
    </xf>
    <xf numFmtId="0" fontId="7" fillId="2" borderId="0" applyAlignment="1" pivotButton="0" quotePrefix="0" xfId="0">
      <alignment horizontal="center" vertical="center" wrapText="1"/>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9" fillId="0" borderId="0" applyAlignment="1" pivotButton="0" quotePrefix="0" xfId="0">
      <alignment horizontal="general" vertical="top"/>
    </xf>
    <xf numFmtId="0" fontId="15" fillId="0" borderId="0" applyAlignment="1" pivotButton="0" quotePrefix="0" xfId="0">
      <alignment horizontal="general" vertical="top"/>
    </xf>
    <xf numFmtId="0" fontId="1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7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35" min="1" max="1"/>
    <col width="30" customWidth="1" style="35" min="2" max="2"/>
    <col width="16" customWidth="1" style="35" min="3" max="3"/>
    <col width="14" customWidth="1" style="35" min="4" max="5"/>
  </cols>
  <sheetData>
    <row r="1" ht="19.5" customHeight="1" s="36">
      <c r="A1" s="37" t="inlineStr">
        <is>
          <t>LATAM Social - avance del alcance completo</t>
        </is>
      </c>
    </row>
    <row r="2" ht="15" customHeight="1" s="36">
      <c r="A2" s="38" t="inlineStr">
        <is>
          <t>Cifras al 2026-09-01. El estado de cada actividad se cambia en la hoja «Actividades».</t>
        </is>
      </c>
    </row>
    <row r="4" ht="17.25" customHeight="1" s="36">
      <c r="A4" s="39" t="inlineStr">
        <is>
          <t>Avance global</t>
        </is>
      </c>
    </row>
    <row r="5" ht="15" customHeight="1" s="36">
      <c r="A5" s="40" t="inlineStr">
        <is>
          <t>Medida</t>
        </is>
      </c>
      <c r="B5" s="40" t="inlineStr">
        <is>
          <t>Valor</t>
        </is>
      </c>
    </row>
    <row r="6" ht="15" customHeight="1" s="36">
      <c r="A6" s="35" t="inlineStr">
        <is>
          <t>Avance por numero de actividades</t>
        </is>
      </c>
      <c r="B6" s="41">
        <f>IFERROR(SUMPRODUCT(Actividades!$H$2:$H$400,Actividades!$I$2:$I$400)/SUM(Actividades!$I$2:$I$400),0)</f>
        <v/>
      </c>
    </row>
    <row r="7" ht="15" customHeight="1" s="36">
      <c r="A7" s="35" t="inlineStr">
        <is>
          <t>Avance ponderado por esfuerzo estimado (semanas por ola)</t>
        </is>
      </c>
      <c r="B7" s="41">
        <f>IFERROR(SUMPRODUCT($B$22:$B$25,$C$22:$C$25)/SUM($C$22:$C$25),0)</f>
        <v/>
      </c>
    </row>
    <row r="8" ht="15" customHeight="1" s="36">
      <c r="A8" s="35" t="inlineStr">
        <is>
          <t>Actividades del alcance total</t>
        </is>
      </c>
      <c r="B8" s="42">
        <f>COUNTA(Actividades!$A$2:$A$400)</f>
        <v/>
      </c>
    </row>
    <row r="9" ht="15" customHeight="1" s="36">
      <c r="A9" s="35" t="inlineStr">
        <is>
          <t>Actividades que cuentan en el denominador</t>
        </is>
      </c>
      <c r="B9" s="42">
        <f>SUM(Actividades!$I$2:$I$400)</f>
        <v/>
      </c>
    </row>
    <row r="11" ht="17.25" customHeight="1" s="36">
      <c r="A11" s="39" t="inlineStr">
        <is>
          <t>Actividades por estado</t>
        </is>
      </c>
    </row>
    <row r="12" ht="15" customHeight="1" s="36">
      <c r="A12" s="40" t="inlineStr">
        <is>
          <t>Estado</t>
        </is>
      </c>
      <c r="B12" s="40" t="inlineStr">
        <is>
          <t>Cuantas</t>
        </is>
      </c>
      <c r="C12" s="40" t="inlineStr">
        <is>
          <t>% del total</t>
        </is>
      </c>
    </row>
    <row r="13" ht="15" customHeight="1" s="36">
      <c r="A13" s="43" t="inlineStr">
        <is>
          <t>Terminado</t>
        </is>
      </c>
      <c r="B13" s="35">
        <f>COUNTIF(Actividades!$G$2:$G$400,$A13)</f>
        <v/>
      </c>
      <c r="C13" s="44">
        <f>IFERROR($B13/COUNTA(Actividades!$A$2:$A$400),0)</f>
        <v/>
      </c>
    </row>
    <row r="14" ht="15" customHeight="1" s="36">
      <c r="A14" s="45" t="inlineStr">
        <is>
          <t>En curso</t>
        </is>
      </c>
      <c r="B14" s="35">
        <f>COUNTIF(Actividades!$G$2:$G$400,$A14)</f>
        <v/>
      </c>
      <c r="C14" s="44">
        <f>IFERROR($B14/COUNTA(Actividades!$A$2:$A$400),0)</f>
        <v/>
      </c>
    </row>
    <row r="15" ht="15" customHeight="1" s="36">
      <c r="A15" s="46" t="inlineStr">
        <is>
          <t>Pendiente</t>
        </is>
      </c>
      <c r="B15" s="35">
        <f>COUNTIF(Actividades!$G$2:$G$400,$A15)</f>
        <v/>
      </c>
      <c r="C15" s="44">
        <f>IFERROR($B15/COUNTA(Actividades!$A$2:$A$400),0)</f>
        <v/>
      </c>
    </row>
    <row r="16" ht="15" customHeight="1" s="36">
      <c r="A16" s="47" t="inlineStr">
        <is>
          <t>Bloqueado</t>
        </is>
      </c>
      <c r="B16" s="35">
        <f>COUNTIF(Actividades!$G$2:$G$400,$A16)</f>
        <v/>
      </c>
      <c r="C16" s="44">
        <f>IFERROR($B16/COUNTA(Actividades!$A$2:$A$400),0)</f>
        <v/>
      </c>
    </row>
    <row r="17" ht="15" customHeight="1" s="36">
      <c r="A17" s="48" t="inlineStr">
        <is>
          <t>Aplazado</t>
        </is>
      </c>
      <c r="B17" s="35">
        <f>COUNTIF(Actividades!$G$2:$G$400,$A17)</f>
        <v/>
      </c>
      <c r="C17" s="44">
        <f>IFERROR($B17/COUNTA(Actividades!$A$2:$A$400),0)</f>
        <v/>
      </c>
    </row>
    <row r="18" ht="15" customHeight="1" s="36">
      <c r="A18" s="49" t="inlineStr">
        <is>
          <t>No aplica</t>
        </is>
      </c>
      <c r="B18" s="35">
        <f>COUNTIF(Actividades!$G$2:$G$400,$A18)</f>
        <v/>
      </c>
      <c r="C18" s="44">
        <f>IFERROR($B18/COUNTA(Actividades!$A$2:$A$400),0)</f>
        <v/>
      </c>
    </row>
    <row r="20" ht="17.25" customHeight="1" s="36">
      <c r="A20" s="39" t="inlineStr">
        <is>
          <t>Avance por ola</t>
        </is>
      </c>
    </row>
    <row r="21" ht="15" customHeight="1" s="36">
      <c r="A21" s="40" t="inlineStr">
        <is>
          <t>Ola</t>
        </is>
      </c>
      <c r="B21" s="40" t="inlineStr">
        <is>
          <t>Avance</t>
        </is>
      </c>
      <c r="C21" s="40" t="inlineStr">
        <is>
          <t>Semanas est.</t>
        </is>
      </c>
      <c r="D21" s="40" t="inlineStr">
        <is>
          <t>Actividades</t>
        </is>
      </c>
      <c r="E21" s="40" t="inlineStr">
        <is>
          <t>Terminadas</t>
        </is>
      </c>
    </row>
    <row r="22" ht="15" customHeight="1" s="36">
      <c r="A22" s="35" t="inlineStr">
        <is>
          <t>Ola 0 - Fundaciones</t>
        </is>
      </c>
      <c r="B22" s="44">
        <f>IFERROR(SUMPRODUCT((Actividades!$B$2:$B$400=$A22)*Actividades!$H$2:$H$400*Actividades!$I$2:$I$400)/SUMPRODUCT((Actividades!$B$2:$B$400=$A22)*Actividades!$I$2:$I$400),0)</f>
        <v/>
      </c>
      <c r="C22" s="35" t="n">
        <v>8.5</v>
      </c>
      <c r="D22" s="35">
        <f>COUNTIF(Actividades!$B$2:$B$400,$A22)</f>
        <v/>
      </c>
      <c r="E22" s="35">
        <f>SUMPRODUCT((Actividades!$B$2:$B$400=$A22)*(Actividades!$G$2:$G$400="Terminado"))</f>
        <v/>
      </c>
    </row>
    <row r="23" ht="15" customHeight="1" s="36">
      <c r="A23" s="35" t="inlineStr">
        <is>
          <t>Ola 1 - MVP: operar sin Excel</t>
        </is>
      </c>
      <c r="B23" s="44">
        <f>IFERROR(SUMPRODUCT((Actividades!$B$2:$B$400=$A23)*Actividades!$H$2:$H$400*Actividades!$I$2:$I$400)/SUMPRODUCT((Actividades!$B$2:$B$400=$A23)*Actividades!$I$2:$I$400),0)</f>
        <v/>
      </c>
      <c r="C23" s="35" t="n">
        <v>12</v>
      </c>
      <c r="D23" s="35">
        <f>COUNTIF(Actividades!$B$2:$B$400,$A23)</f>
        <v/>
      </c>
      <c r="E23" s="35">
        <f>SUMPRODUCT((Actividades!$B$2:$B$400=$A23)*(Actividades!$G$2:$G$400="Terminado"))</f>
        <v/>
      </c>
    </row>
    <row r="24" ht="15" customHeight="1" s="36">
      <c r="A24" s="35" t="inlineStr">
        <is>
          <t>Ola 2 - Escalar comercialmente</t>
        </is>
      </c>
      <c r="B24" s="44">
        <f>IFERROR(SUMPRODUCT((Actividades!$B$2:$B$400=$A24)*Actividades!$H$2:$H$400*Actividades!$I$2:$I$400)/SUMPRODUCT((Actividades!$B$2:$B$400=$A24)*Actividades!$I$2:$I$400),0)</f>
        <v/>
      </c>
      <c r="C24" s="35" t="n">
        <v>14</v>
      </c>
      <c r="D24" s="35">
        <f>COUNTIF(Actividades!$B$2:$B$400,$A24)</f>
        <v/>
      </c>
      <c r="E24" s="35">
        <f>SUMPRODUCT((Actividades!$B$2:$B$400=$A24)*(Actividades!$G$2:$G$400="Terminado"))</f>
        <v/>
      </c>
    </row>
    <row r="25" ht="15" customHeight="1" s="36">
      <c r="A25" s="35" t="inlineStr">
        <is>
          <t>Ola 3 - Internacionalizar y endurecer</t>
        </is>
      </c>
      <c r="B25" s="44">
        <f>IFERROR(SUMPRODUCT((Actividades!$B$2:$B$400=$A25)*Actividades!$H$2:$H$400*Actividades!$I$2:$I$400)/SUMPRODUCT((Actividades!$B$2:$B$400=$A25)*Actividades!$I$2:$I$400),0)</f>
        <v/>
      </c>
      <c r="C25" s="35" t="n">
        <v>10</v>
      </c>
      <c r="D25" s="35">
        <f>COUNTIF(Actividades!$B$2:$B$400,$A25)</f>
        <v/>
      </c>
      <c r="E25" s="35">
        <f>SUMPRODUCT((Actividades!$B$2:$B$400=$A25)*(Actividades!$G$2:$G$400="Terminado"))</f>
        <v/>
      </c>
    </row>
    <row r="27" ht="17.25" customHeight="1" s="36">
      <c r="A27" s="39" t="inlineStr">
        <is>
          <t>Avance por fase</t>
        </is>
      </c>
    </row>
    <row r="28" ht="15" customHeight="1" s="36">
      <c r="A28" s="40" t="inlineStr">
        <is>
          <t>Fase</t>
        </is>
      </c>
      <c r="B28" s="40" t="inlineStr">
        <is>
          <t>Nombre</t>
        </is>
      </c>
      <c r="C28" s="40" t="inlineStr">
        <is>
          <t>Avance</t>
        </is>
      </c>
      <c r="D28" s="40" t="inlineStr">
        <is>
          <t>Actividades</t>
        </is>
      </c>
      <c r="E28" s="40" t="inlineStr">
        <is>
          <t>Terminadas</t>
        </is>
      </c>
    </row>
    <row r="29" ht="15" customHeight="1" s="36">
      <c r="A29" s="35" t="inlineStr">
        <is>
          <t>F0</t>
        </is>
      </c>
      <c r="B29" s="35" t="inlineStr">
        <is>
          <t>Discovery</t>
        </is>
      </c>
      <c r="C29" s="44">
        <f>IFERROR(SUMPRODUCT((Actividades!$C$2:$C$400=$A29)*Actividades!$H$2:$H$400*Actividades!$I$2:$I$400)/SUMPRODUCT((Actividades!$C$2:$C$400=$A29)*Actividades!$I$2:$I$400),0)</f>
        <v/>
      </c>
      <c r="D29" s="35">
        <f>COUNTIF(Actividades!$C$2:$C$400,$A29)</f>
        <v/>
      </c>
      <c r="E29" s="35">
        <f>SUMPRODUCT((Actividades!$C$2:$C$400=$A29)*(Actividades!$G$2:$G$400="Terminado"))</f>
        <v/>
      </c>
    </row>
    <row r="30" ht="15" customHeight="1" s="36">
      <c r="A30" s="35" t="inlineStr">
        <is>
          <t>F1</t>
        </is>
      </c>
      <c r="B30" s="35" t="inlineStr">
        <is>
          <t>Arquitectura y esqueleto</t>
        </is>
      </c>
      <c r="C30" s="44">
        <f>IFERROR(SUMPRODUCT((Actividades!$C$2:$C$400=$A30)*Actividades!$H$2:$H$400*Actividades!$I$2:$I$400)/SUMPRODUCT((Actividades!$C$2:$C$400=$A30)*Actividades!$I$2:$I$400),0)</f>
        <v/>
      </c>
      <c r="D30" s="35">
        <f>COUNTIF(Actividades!$C$2:$C$400,$A30)</f>
        <v/>
      </c>
      <c r="E30" s="35">
        <f>SUMPRODUCT((Actividades!$C$2:$C$400=$A30)*(Actividades!$G$2:$G$400="Terminado"))</f>
        <v/>
      </c>
    </row>
    <row r="31" ht="15" customHeight="1" s="36">
      <c r="A31" s="35" t="inlineStr">
        <is>
          <t>F2</t>
        </is>
      </c>
      <c r="B31" s="35" t="inlineStr">
        <is>
          <t>Modelo de datos</t>
        </is>
      </c>
      <c r="C31" s="44">
        <f>IFERROR(SUMPRODUCT((Actividades!$C$2:$C$400=$A31)*Actividades!$H$2:$H$400*Actividades!$I$2:$I$400)/SUMPRODUCT((Actividades!$C$2:$C$400=$A31)*Actividades!$I$2:$I$400),0)</f>
        <v/>
      </c>
      <c r="D31" s="35">
        <f>COUNTIF(Actividades!$C$2:$C$400,$A31)</f>
        <v/>
      </c>
      <c r="E31" s="35">
        <f>SUMPRODUCT((Actividades!$C$2:$C$400=$A31)*(Actividades!$G$2:$G$400="Terminado"))</f>
        <v/>
      </c>
    </row>
    <row r="32" ht="15" customHeight="1" s="36">
      <c r="A32" s="35" t="inlineStr">
        <is>
          <t>F3</t>
        </is>
      </c>
      <c r="B32" s="35" t="inlineStr">
        <is>
          <t>Design System y UX</t>
        </is>
      </c>
      <c r="C32" s="44">
        <f>IFERROR(SUMPRODUCT((Actividades!$C$2:$C$400=$A32)*Actividades!$H$2:$H$400*Actividades!$I$2:$I$400)/SUMPRODUCT((Actividades!$C$2:$C$400=$A32)*Actividades!$I$2:$I$400),0)</f>
        <v/>
      </c>
      <c r="D32" s="35">
        <f>COUNTIF(Actividades!$C$2:$C$400,$A32)</f>
        <v/>
      </c>
      <c r="E32" s="35">
        <f>SUMPRODUCT((Actividades!$C$2:$C$400=$A32)*(Actividades!$G$2:$G$400="Terminado"))</f>
        <v/>
      </c>
    </row>
    <row r="33" ht="15" customHeight="1" s="36">
      <c r="A33" s="35" t="inlineStr">
        <is>
          <t>F4</t>
        </is>
      </c>
      <c r="B33" s="35" t="inlineStr">
        <is>
          <t>Core tecnico</t>
        </is>
      </c>
      <c r="C33" s="44">
        <f>IFERROR(SUMPRODUCT((Actividades!$C$2:$C$400=$A33)*Actividades!$H$2:$H$400*Actividades!$I$2:$I$400)/SUMPRODUCT((Actividades!$C$2:$C$400=$A33)*Actividades!$I$2:$I$400),0)</f>
        <v/>
      </c>
      <c r="D33" s="35">
        <f>COUNTIF(Actividades!$C$2:$C$400,$A33)</f>
        <v/>
      </c>
      <c r="E33" s="35">
        <f>SUMPRODUCT((Actividades!$C$2:$C$400=$A33)*(Actividades!$G$2:$G$400="Terminado"))</f>
        <v/>
      </c>
    </row>
    <row r="34" ht="15" customHeight="1" s="36">
      <c r="A34" s="35" t="inlineStr">
        <is>
          <t>F5</t>
        </is>
      </c>
      <c r="B34" s="35" t="inlineStr">
        <is>
          <t>Adquisicion de creadores</t>
        </is>
      </c>
      <c r="C34" s="44">
        <f>IFERROR(SUMPRODUCT((Actividades!$C$2:$C$400=$A34)*Actividades!$H$2:$H$400*Actividades!$I$2:$I$400)/SUMPRODUCT((Actividades!$C$2:$C$400=$A34)*Actividades!$I$2:$I$400),0)</f>
        <v/>
      </c>
      <c r="D34" s="35">
        <f>COUNTIF(Actividades!$C$2:$C$400,$A34)</f>
        <v/>
      </c>
      <c r="E34" s="35">
        <f>SUMPRODUCT((Actividades!$C$2:$C$400=$A34)*(Actividades!$G$2:$G$400="Terminado"))</f>
        <v/>
      </c>
    </row>
    <row r="35" ht="15" customHeight="1" s="36">
      <c r="A35" s="35" t="inlineStr">
        <is>
          <t>F6</t>
        </is>
      </c>
      <c r="B35" s="35" t="inlineStr">
        <is>
          <t>Portal del creador</t>
        </is>
      </c>
      <c r="C35" s="44">
        <f>IFERROR(SUMPRODUCT((Actividades!$C$2:$C$400=$A35)*Actividades!$H$2:$H$400*Actividades!$I$2:$I$400)/SUMPRODUCT((Actividades!$C$2:$C$400=$A35)*Actividades!$I$2:$I$400),0)</f>
        <v/>
      </c>
      <c r="D35" s="35">
        <f>COUNTIF(Actividades!$C$2:$C$400,$A35)</f>
        <v/>
      </c>
      <c r="E35" s="35">
        <f>SUMPRODUCT((Actividades!$C$2:$C$400=$A35)*(Actividades!$G$2:$G$400="Terminado"))</f>
        <v/>
      </c>
    </row>
    <row r="36" ht="15" customHeight="1" s="36">
      <c r="A36" s="35" t="inlineStr">
        <is>
          <t>F7</t>
        </is>
      </c>
      <c r="B36" s="35" t="inlineStr">
        <is>
          <t>Motor de campana</t>
        </is>
      </c>
      <c r="C36" s="44">
        <f>IFERROR(SUMPRODUCT((Actividades!$C$2:$C$400=$A36)*Actividades!$H$2:$H$400*Actividades!$I$2:$I$400)/SUMPRODUCT((Actividades!$C$2:$C$400=$A36)*Actividades!$I$2:$I$400),0)</f>
        <v/>
      </c>
      <c r="D36" s="35">
        <f>COUNTIF(Actividades!$C$2:$C$400,$A36)</f>
        <v/>
      </c>
      <c r="E36" s="35">
        <f>SUMPRODUCT((Actividades!$C$2:$C$400=$A36)*(Actividades!$G$2:$G$400="Terminado"))</f>
        <v/>
      </c>
    </row>
    <row r="37" ht="15" customHeight="1" s="36">
      <c r="A37" s="35" t="inlineStr">
        <is>
          <t>F8</t>
        </is>
      </c>
      <c r="B37" s="35" t="inlineStr">
        <is>
          <t>Contenido, revision y evidencia</t>
        </is>
      </c>
      <c r="C37" s="44">
        <f>IFERROR(SUMPRODUCT((Actividades!$C$2:$C$400=$A37)*Actividades!$H$2:$H$400*Actividades!$I$2:$I$400)/SUMPRODUCT((Actividades!$C$2:$C$400=$A37)*Actividades!$I$2:$I$400),0)</f>
        <v/>
      </c>
      <c r="D37" s="35">
        <f>COUNTIF(Actividades!$C$2:$C$400,$A37)</f>
        <v/>
      </c>
      <c r="E37" s="35">
        <f>SUMPRODUCT((Actividades!$C$2:$C$400=$A37)*(Actividades!$G$2:$G$400="Terminado"))</f>
        <v/>
      </c>
    </row>
    <row r="38" ht="15" customHeight="1" s="36">
      <c r="A38" s="35" t="inlineStr">
        <is>
          <t>F9</t>
        </is>
      </c>
      <c r="B38" s="35" t="inlineStr">
        <is>
          <t>Finanzas</t>
        </is>
      </c>
      <c r="C38" s="44">
        <f>IFERROR(SUMPRODUCT((Actividades!$C$2:$C$400=$A38)*Actividades!$H$2:$H$400*Actividades!$I$2:$I$400)/SUMPRODUCT((Actividades!$C$2:$C$400=$A38)*Actividades!$I$2:$I$400),0)</f>
        <v/>
      </c>
      <c r="D38" s="35">
        <f>COUNTIF(Actividades!$C$2:$C$400,$A38)</f>
        <v/>
      </c>
      <c r="E38" s="35">
        <f>SUMPRODUCT((Actividades!$C$2:$C$400=$A38)*(Actividades!$G$2:$G$400="Terminado"))</f>
        <v/>
      </c>
    </row>
    <row r="39" ht="15" customHeight="1" s="36">
      <c r="A39" s="35" t="inlineStr">
        <is>
          <t>F10</t>
        </is>
      </c>
      <c r="B39" s="35" t="inlineStr">
        <is>
          <t>Medicion y reportes</t>
        </is>
      </c>
      <c r="C39" s="44">
        <f>IFERROR(SUMPRODUCT((Actividades!$C$2:$C$400=$A39)*Actividades!$H$2:$H$400*Actividades!$I$2:$I$400)/SUMPRODUCT((Actividades!$C$2:$C$400=$A39)*Actividades!$I$2:$I$400),0)</f>
        <v/>
      </c>
      <c r="D39" s="35">
        <f>COUNTIF(Actividades!$C$2:$C$400,$A39)</f>
        <v/>
      </c>
      <c r="E39" s="35">
        <f>SUMPRODUCT((Actividades!$C$2:$C$400=$A39)*(Actividades!$G$2:$G$400="Terminado"))</f>
        <v/>
      </c>
    </row>
    <row r="40" ht="15" customHeight="1" s="36">
      <c r="A40" s="35" t="inlineStr">
        <is>
          <t>F11</t>
        </is>
      </c>
      <c r="B40" s="35" t="inlineStr">
        <is>
          <t>Adquisicion de marcas y CRM</t>
        </is>
      </c>
      <c r="C40" s="44">
        <f>IFERROR(SUMPRODUCT((Actividades!$C$2:$C$400=$A40)*Actividades!$H$2:$H$400*Actividades!$I$2:$I$400)/SUMPRODUCT((Actividades!$C$2:$C$400=$A40)*Actividades!$I$2:$I$400),0)</f>
        <v/>
      </c>
      <c r="D40" s="35">
        <f>COUNTIF(Actividades!$C$2:$C$400,$A40)</f>
        <v/>
      </c>
      <c r="E40" s="35">
        <f>SUMPRODUCT((Actividades!$C$2:$C$400=$A40)*(Actividades!$G$2:$G$400="Terminado"))</f>
        <v/>
      </c>
    </row>
    <row r="41" ht="15" customHeight="1" s="36">
      <c r="A41" s="35" t="inlineStr">
        <is>
          <t>F12</t>
        </is>
      </c>
      <c r="B41" s="35" t="inlineStr">
        <is>
          <t>Integraciones</t>
        </is>
      </c>
      <c r="C41" s="44">
        <f>IFERROR(SUMPRODUCT((Actividades!$C$2:$C$400=$A41)*Actividades!$H$2:$H$400*Actividades!$I$2:$I$400)/SUMPRODUCT((Actividades!$C$2:$C$400=$A41)*Actividades!$I$2:$I$400),0)</f>
        <v/>
      </c>
      <c r="D41" s="35">
        <f>COUNTIF(Actividades!$C$2:$C$400,$A41)</f>
        <v/>
      </c>
      <c r="E41" s="35">
        <f>SUMPRODUCT((Actividades!$C$2:$C$400=$A41)*(Actividades!$G$2:$G$400="Terminado"))</f>
        <v/>
      </c>
    </row>
    <row r="42" ht="15" customHeight="1" s="36">
      <c r="A42" s="35" t="inlineStr">
        <is>
          <t>F13</t>
        </is>
      </c>
      <c r="B42" s="35" t="inlineStr">
        <is>
          <t>Portal de la marca</t>
        </is>
      </c>
      <c r="C42" s="44">
        <f>IFERROR(SUMPRODUCT((Actividades!$C$2:$C$400=$A42)*Actividades!$H$2:$H$400*Actividades!$I$2:$I$400)/SUMPRODUCT((Actividades!$C$2:$C$400=$A42)*Actividades!$I$2:$I$400),0)</f>
        <v/>
      </c>
      <c r="D42" s="35">
        <f>COUNTIF(Actividades!$C$2:$C$400,$A42)</f>
        <v/>
      </c>
      <c r="E42" s="35">
        <f>SUMPRODUCT((Actividades!$C$2:$C$400=$A42)*(Actividades!$G$2:$G$400="Terminado"))</f>
        <v/>
      </c>
    </row>
    <row r="43" ht="15" customHeight="1" s="36">
      <c r="A43" s="35" t="inlineStr">
        <is>
          <t>F14</t>
        </is>
      </c>
      <c r="B43" s="35" t="inlineStr">
        <is>
          <t>Creator Intelligence</t>
        </is>
      </c>
      <c r="C43" s="44">
        <f>IFERROR(SUMPRODUCT((Actividades!$C$2:$C$400=$A43)*Actividades!$H$2:$H$400*Actividades!$I$2:$I$400)/SUMPRODUCT((Actividades!$C$2:$C$400=$A43)*Actividades!$I$2:$I$400),0)</f>
        <v/>
      </c>
      <c r="D43" s="35">
        <f>COUNTIF(Actividades!$C$2:$C$400,$A43)</f>
        <v/>
      </c>
      <c r="E43" s="35">
        <f>SUMPRODUCT((Actividades!$C$2:$C$400=$A43)*(Actividades!$G$2:$G$400="Terminado"))</f>
        <v/>
      </c>
    </row>
    <row r="44" ht="15" customHeight="1" s="36">
      <c r="A44" s="35" t="inlineStr">
        <is>
          <t>F15</t>
        </is>
      </c>
      <c r="B44" s="35" t="inlineStr">
        <is>
          <t>Internacionalizacion real</t>
        </is>
      </c>
      <c r="C44" s="44">
        <f>IFERROR(SUMPRODUCT((Actividades!$C$2:$C$400=$A44)*Actividades!$H$2:$H$400*Actividades!$I$2:$I$400)/SUMPRODUCT((Actividades!$C$2:$C$400=$A44)*Actividades!$I$2:$I$400),0)</f>
        <v/>
      </c>
      <c r="D44" s="35">
        <f>COUNTIF(Actividades!$C$2:$C$400,$A44)</f>
        <v/>
      </c>
      <c r="E44" s="35">
        <f>SUMPRODUCT((Actividades!$C$2:$C$400=$A44)*(Actividades!$G$2:$G$400="Terminado"))</f>
        <v/>
      </c>
    </row>
    <row r="45" ht="15" customHeight="1" s="36">
      <c r="A45" s="35" t="inlineStr">
        <is>
          <t>F16</t>
        </is>
      </c>
      <c r="B45" s="35" t="inlineStr">
        <is>
          <t>Hardening</t>
        </is>
      </c>
      <c r="C45" s="44">
        <f>IFERROR(SUMPRODUCT((Actividades!$C$2:$C$400=$A45)*Actividades!$H$2:$H$400*Actividades!$I$2:$I$400)/SUMPRODUCT((Actividades!$C$2:$C$400=$A45)*Actividades!$I$2:$I$400),0)</f>
        <v/>
      </c>
      <c r="D45" s="35">
        <f>COUNTIF(Actividades!$C$2:$C$400,$A45)</f>
        <v/>
      </c>
      <c r="E45" s="35">
        <f>SUMPRODUCT((Actividades!$C$2:$C$400=$A45)*(Actividades!$G$2:$G$400="Terminado"))</f>
        <v/>
      </c>
    </row>
    <row r="46" ht="15" customHeight="1" s="36">
      <c r="A46" s="35" t="inlineStr">
        <is>
          <t>F17</t>
        </is>
      </c>
      <c r="B46" s="35" t="inlineStr">
        <is>
          <t>Produccion</t>
        </is>
      </c>
      <c r="C46" s="44">
        <f>IFERROR(SUMPRODUCT((Actividades!$C$2:$C$400=$A46)*Actividades!$H$2:$H$400*Actividades!$I$2:$I$400)/SUMPRODUCT((Actividades!$C$2:$C$400=$A46)*Actividades!$I$2:$I$400),0)</f>
        <v/>
      </c>
      <c r="D46" s="35">
        <f>COUNTIF(Actividades!$C$2:$C$400,$A46)</f>
        <v/>
      </c>
      <c r="E46" s="35">
        <f>SUMPRODUCT((Actividades!$C$2:$C$400=$A46)*(Actividades!$G$2:$G$400="Terminado"))</f>
        <v/>
      </c>
    </row>
    <row r="48" ht="17.25" customHeight="1" s="36">
      <c r="A48" s="39" t="inlineStr">
        <is>
          <t>Como leer esto</t>
        </is>
      </c>
    </row>
    <row r="49" ht="27.75" customHeight="1" s="36">
      <c r="A49" s="69" t="inlineStr">
        <is>
          <t>- El primer numero cuenta ACTIVIDADES, no semanas. Las que quedan son de media mas grandes que las hechas: finanzas, integraciones y los dos portales son fases enteras sin empezar.</t>
        </is>
      </c>
    </row>
    <row r="50" ht="27.75" customHeight="1" s="36">
      <c r="A50" s="69" t="inlineStr">
        <is>
          <t>- El segundo numero pondera cada ola por su estimacion de esfuerzo del propio roadmap, y es el mas honesto de los dos.</t>
        </is>
      </c>
    </row>
    <row r="51" ht="27.75" customHeight="1" s="36">
      <c r="A51" s="69" t="inlineStr">
        <is>
          <t>-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is>
      </c>
    </row>
    <row r="52" ht="27.75" customHeight="1" s="36">
      <c r="A52" s="69" t="inlineStr">
        <is>
          <t>- «En curso» cuenta como medio. Si prefiere una lectura conservadora, ponga el peso de «En curso» a 0% en la hoja Config y todo se recalcula.</t>
        </is>
      </c>
    </row>
    <row r="53" ht="27.75" customHeight="1" s="36">
      <c r="A53" s="69" t="inlineStr">
        <is>
          <t>- Para cambiar un estado: hoja «Actividades», columna Estado, lista desplegable. No toque las columnas Avance ni Cuenta: son formulas.</t>
        </is>
      </c>
    </row>
    <row r="54" ht="34.5" customHeight="1" s="36">
      <c r="A54" s="69" t="inlineStr">
        <is>
          <t>- La numeracion de F9 se reordeno al ejecutar: la fila «9.2» de esta hoja es la iteracion 9.3 del roadmap, y asi las siguientes. La nota de cada fila lo dice.</t>
        </is>
      </c>
    </row>
    <row r="55" ht="34.5" customHeight="1" s="36">
      <c r="A55" s="69" t="inlineStr">
        <is>
          <t>- Las filas marcadas «FUERA DEL ALCANCE ORIGINAL» son iteraciones que no estaban en el plan y se hicieron porque el trabajo las destapo. Cuentan en el total.</t>
        </is>
      </c>
    </row>
    <row r="57" ht="15" customHeight="1" s="36">
      <c r="A57" s="51" t="inlineStr">
        <is>
          <t>Tareas, preguntas y decisiones</t>
        </is>
      </c>
    </row>
    <row r="58" ht="15" customHeight="1" s="36">
      <c r="A58" s="52" t="inlineStr">
        <is>
          <t>Que se mira</t>
        </is>
      </c>
      <c r="B58" s="52" t="inlineStr">
        <is>
          <t>Abiertas</t>
        </is>
      </c>
      <c r="C58" s="52" t="inlineStr">
        <is>
          <t>Total</t>
        </is>
      </c>
    </row>
    <row r="59" ht="15" customHeight="1" s="36">
      <c r="A59" s="53" t="inlineStr">
        <is>
          <t>Tareas (hoja «Tareas»)</t>
        </is>
      </c>
      <c r="B59" s="35">
        <f>COUNTIF(Tareas!$B$3:$B$65,"Abierta")</f>
        <v/>
      </c>
      <c r="C59" s="35" t="n">
        <v>63</v>
      </c>
    </row>
    <row r="60" ht="15" customHeight="1" s="36">
      <c r="A60" s="53" t="inlineStr">
        <is>
          <t>Preguntas de negocio (hoja «Preguntas»)</t>
        </is>
      </c>
      <c r="B60" s="35">
        <f>COUNTIF(Preguntas!$B$3:$B$60,"Abierta")</f>
        <v/>
      </c>
      <c r="C60" s="35" t="n">
        <v>58</v>
      </c>
    </row>
    <row r="61" ht="15" customHeight="1" s="36">
      <c r="A61" s="53" t="inlineStr">
        <is>
          <t>De ellas, críticas y sin respuesta</t>
        </is>
      </c>
      <c r="B61" s="35">
        <f>COUNTIFS(Preguntas!$B$3:$B$60,"Abierta",Preguntas!$C$3:$C$60,"Critica")+COUNTIFS(Tareas!$B$3:$B$65,"Abierta",Tareas!$C$3:$C$65,"Critica")</f>
        <v/>
      </c>
    </row>
    <row r="62" ht="15" customHeight="1" s="36">
      <c r="A62" s="53" t="inlineStr">
        <is>
          <t>Decisiones sin firma formal (hoja «Decisiones»)</t>
        </is>
      </c>
      <c r="B62" s="35">
        <f>COUNTIF(Decisiones!$B$3:$B$201,"Propuesta")</f>
        <v/>
      </c>
      <c r="C62" s="35" t="n">
        <v>199</v>
      </c>
    </row>
    <row r="63" ht="15" customHeight="1" s="36">
      <c r="A63" s="53" t="n"/>
    </row>
    <row r="64" ht="15" customHeight="1" s="36">
      <c r="A64" s="53" t="inlineStr">
        <is>
          <t>- Una pregunta abierta no es una duda: es trabajo parado. Una decisión «Propuesta» está construida y funcionando, y lo que le falta es tu confirmación explícita.</t>
        </is>
      </c>
    </row>
    <row r="65" ht="15" customHeight="1" s="36">
      <c r="A65" s="51" t="inlineStr">
        <is>
          <t>Tareas y preguntas abiertas</t>
        </is>
      </c>
    </row>
    <row r="66" ht="15" customHeight="1" s="36">
      <c r="A66" s="52" t="inlineStr">
        <is>
          <t>Que se mira</t>
        </is>
      </c>
      <c r="B66" s="52" t="inlineStr">
        <is>
          <t>Abiertas</t>
        </is>
      </c>
      <c r="C66" s="52" t="inlineStr">
        <is>
          <t>Total</t>
        </is>
      </c>
    </row>
    <row r="67" ht="15" customHeight="1" s="36">
      <c r="A67" s="53" t="inlineStr">
        <is>
          <t>Tareas (hoja «Tareas»)</t>
        </is>
      </c>
      <c r="B67" s="35">
        <f>COUNTIF(Tareas!$B$3:$B$62,"Abierta")</f>
        <v/>
      </c>
      <c r="C67" s="35" t="n">
        <v>60</v>
      </c>
    </row>
    <row r="68" ht="15" customHeight="1" s="36">
      <c r="A68" s="53" t="inlineStr">
        <is>
          <t>Preguntas de negocio (hoja «Preguntas»)</t>
        </is>
      </c>
      <c r="B68" s="35">
        <f>COUNTIF(Preguntas!$B$3:$B$60,"Abierta")</f>
        <v/>
      </c>
      <c r="C68" s="35" t="n">
        <v>58</v>
      </c>
    </row>
    <row r="69" ht="15" customHeight="1" s="36">
      <c r="A69" s="53" t="inlineStr">
        <is>
          <t>De ellas, criticas (rojas) y sin respuesta</t>
        </is>
      </c>
      <c r="B69" s="35">
        <f>COUNTIFS(Preguntas!$B$3:$B$60,"Abierta",Preguntas!$C$3:$C$60,"Critica")+COUNTIFS(Tareas!$B$3:$B$62,"Abierta",Tareas!$C$3:$C$62,"Critica")</f>
        <v/>
      </c>
    </row>
    <row r="70" ht="15" customHeight="1" s="36">
      <c r="A70" s="53" t="n"/>
    </row>
    <row r="71" ht="15" customHeight="1" s="36">
      <c r="A71" s="53" t="inlineStr">
        <is>
          <t>- Una pregunta abierta no es una duda: es trabajo parado. Q-40 (tu contador) para las retenciones, Q-44 (tu contador) la facturacion, T-09 (tu abogado) toda activacion de creadores.</t>
        </is>
      </c>
    </row>
  </sheetData>
  <mergeCells count="5">
    <mergeCell ref="A53:E53"/>
    <mergeCell ref="A50:E50"/>
    <mergeCell ref="A52:E52"/>
    <mergeCell ref="A49:E49"/>
    <mergeCell ref="A51:E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35" min="1" max="1"/>
    <col width="12" customWidth="1" style="35" min="2" max="2"/>
    <col width="20" customWidth="1" style="35" min="3" max="3"/>
    <col width="95" customWidth="1" style="35" min="4" max="4"/>
  </cols>
  <sheetData>
    <row r="1" ht="15" customHeight="1" s="36">
      <c r="A1" s="54" t="inlineStr">
        <is>
          <t>Estados y su peso en el avance</t>
        </is>
      </c>
    </row>
    <row r="2" ht="15" customHeight="1" s="36">
      <c r="A2" s="52" t="inlineStr">
        <is>
          <t>Estado</t>
        </is>
      </c>
      <c r="B2" s="52" t="inlineStr">
        <is>
          <t>Peso</t>
        </is>
      </c>
      <c r="C2" s="52" t="inlineStr">
        <is>
          <t>Cuenta en el total</t>
        </is>
      </c>
      <c r="D2" s="52" t="inlineStr">
        <is>
          <t>Que significa</t>
        </is>
      </c>
    </row>
    <row r="3" ht="15" customHeight="1" s="36">
      <c r="A3" s="53" t="inlineStr">
        <is>
          <t>Terminado</t>
        </is>
      </c>
      <c r="B3" s="55" t="n">
        <v>1</v>
      </c>
      <c r="C3" s="53" t="n">
        <v>1</v>
      </c>
      <c r="D3" s="53" t="inlineStr">
        <is>
          <t>Entregado, verificado y con su documento de iteracion cerrado.</t>
        </is>
      </c>
    </row>
    <row r="4" ht="15" customHeight="1" s="36">
      <c r="A4" s="53" t="inlineStr">
        <is>
          <t>En curso</t>
        </is>
      </c>
      <c r="B4" s="55" t="n">
        <v>0.5</v>
      </c>
      <c r="C4" s="53" t="n">
        <v>1</v>
      </c>
      <c r="D4" s="53" t="inlineStr">
        <is>
          <t>Hay trabajo hecho y demostrable, pero la actividad no esta completa. Cuenta como medio.</t>
        </is>
      </c>
    </row>
    <row r="5" ht="15" customHeight="1" s="36">
      <c r="A5" s="53" t="inlineStr">
        <is>
          <t>Pendiente</t>
        </is>
      </c>
      <c r="B5" s="55" t="n">
        <v>0</v>
      </c>
      <c r="C5" s="53" t="n">
        <v>1</v>
      </c>
      <c r="D5" s="53" t="inlineStr">
        <is>
          <t>No empezada.</t>
        </is>
      </c>
    </row>
    <row r="6" ht="15" customHeight="1" s="36">
      <c r="A6" s="53" t="inlineStr">
        <is>
          <t>Bloqueado</t>
        </is>
      </c>
      <c r="B6" s="55" t="n">
        <v>0</v>
      </c>
      <c r="C6" s="53" t="n">
        <v>1</v>
      </c>
      <c r="D6" s="53" t="inlineStr">
        <is>
          <t>No se puede avanzar sin una decision externa (contador, abogado, proveedor).</t>
        </is>
      </c>
    </row>
    <row r="7" ht="15" customHeight="1" s="36">
      <c r="A7" s="53" t="inlineStr">
        <is>
          <t>Aplazado</t>
        </is>
      </c>
      <c r="B7" s="55" t="n">
        <v>0</v>
      </c>
      <c r="C7" s="53" t="n">
        <v>0</v>
      </c>
      <c r="D7" s="53" t="inlineStr">
        <is>
          <t>Movida a proposito a otro momento del plan. NO cuenta en el denominador para no contarla dos veces.</t>
        </is>
      </c>
    </row>
    <row r="8" ht="15" customHeight="1" s="36">
      <c r="A8" s="53" t="inlineStr">
        <is>
          <t>No aplica</t>
        </is>
      </c>
      <c r="B8" s="55" t="n">
        <v>0</v>
      </c>
      <c r="C8" s="53" t="n">
        <v>0</v>
      </c>
      <c r="D8" s="53" t="inlineStr">
        <is>
          <t>Descartada del alcance. No cuenta en el denominador.</t>
        </is>
      </c>
    </row>
    <row r="9" ht="15" customHeight="1" s="36">
      <c r="A9" s="53" t="n"/>
      <c r="B9" s="53" t="n"/>
      <c r="C9" s="53" t="n"/>
      <c r="D9" s="53" t="n"/>
    </row>
    <row r="10" ht="15" customHeight="1" s="36">
      <c r="A10" s="53" t="n"/>
      <c r="B10" s="53" t="n"/>
      <c r="C10" s="53" t="n"/>
      <c r="D10" s="53" t="n"/>
    </row>
    <row r="11" ht="15" customHeight="1" s="36">
      <c r="A11" s="54" t="inlineStr">
        <is>
          <t>Esfuerzo estimado por ola (docs/04-ROADMAP, punto medio del rango)</t>
        </is>
      </c>
    </row>
    <row r="12" ht="15" customHeight="1" s="36">
      <c r="A12" s="52" t="inlineStr">
        <is>
          <t>Ola</t>
        </is>
      </c>
      <c r="B12" s="52" t="inlineStr">
        <is>
          <t>Semanas</t>
        </is>
      </c>
      <c r="C12" s="52" t="inlineStr">
        <is>
          <t>Rango original</t>
        </is>
      </c>
      <c r="D12" s="52" t="n"/>
    </row>
    <row r="13" ht="15" customHeight="1" s="36">
      <c r="A13" s="53" t="inlineStr">
        <is>
          <t>Ola 0 - Fundaciones</t>
        </is>
      </c>
      <c r="B13" s="53" t="n">
        <v>8.5</v>
      </c>
      <c r="C13" s="53" t="inlineStr">
        <is>
          <t>7 a 10 semanas</t>
        </is>
      </c>
      <c r="D13" s="53" t="n"/>
    </row>
    <row r="14" ht="15" customHeight="1" s="36">
      <c r="A14" s="53" t="inlineStr">
        <is>
          <t>Ola 1 - MVP: operar sin Excel</t>
        </is>
      </c>
      <c r="B14" s="53" t="n">
        <v>12</v>
      </c>
      <c r="C14" s="53" t="inlineStr">
        <is>
          <t>10 a 14 semanas</t>
        </is>
      </c>
      <c r="D14" s="53" t="n"/>
    </row>
    <row r="15" ht="15" customHeight="1" s="36">
      <c r="A15" s="53" t="inlineStr">
        <is>
          <t>Ola 2 - Escalar comercialmente</t>
        </is>
      </c>
      <c r="B15" s="53" t="n">
        <v>14</v>
      </c>
      <c r="C15" s="53" t="inlineStr">
        <is>
          <t>12 a 16 semanas</t>
        </is>
      </c>
      <c r="D15" s="53" t="n"/>
    </row>
    <row r="16" ht="15" customHeight="1" s="36">
      <c r="A16" s="53" t="inlineStr">
        <is>
          <t>Ola 3 - Internacionalizar y endurecer</t>
        </is>
      </c>
      <c r="B16" s="53" t="n">
        <v>10</v>
      </c>
      <c r="C16" s="53" t="inlineStr">
        <is>
          <t>8 a 12 semanas</t>
        </is>
      </c>
      <c r="D16" s="53" t="n"/>
    </row>
    <row r="17" ht="15" customHeight="1" s="36">
      <c r="A17" s="53" t="n"/>
      <c r="B17" s="53" t="n"/>
      <c r="C17" s="53" t="n"/>
      <c r="D17" s="53" t="n"/>
    </row>
    <row r="18" ht="15" customHeight="1" s="36">
      <c r="A18" s="53" t="n"/>
      <c r="B18" s="53" t="n"/>
      <c r="C18" s="53" t="n"/>
      <c r="D18" s="53" t="n"/>
    </row>
    <row r="19" ht="15" customHeight="1" s="36">
      <c r="A19" s="56" t="inlineStr">
        <is>
          <t>Estas semanas son para 2 desarrolladores a tiempo completo. Con 1 solo, el propio roadmap dice que hay que multiplicar por 1,7.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9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35" min="1" max="1"/>
    <col width="30" customWidth="1" style="35" min="2" max="2"/>
    <col width="7" customWidth="1" style="35" min="3" max="3"/>
    <col width="26" customWidth="1" style="35" min="4" max="4"/>
    <col width="7" customWidth="1" style="35" min="5" max="5"/>
    <col width="62" customWidth="1" style="35" min="6" max="6"/>
    <col width="14" customWidth="1" style="35" min="7" max="7"/>
    <col width="10" customWidth="1" style="35" min="8" max="8"/>
    <col width="9" customWidth="1" style="35" min="9" max="9"/>
    <col width="85" customWidth="1" style="35" min="10" max="10"/>
  </cols>
  <sheetData>
    <row r="1" ht="24" customHeight="1" s="36">
      <c r="A1" s="40" t="inlineStr">
        <is>
          <t>ID</t>
        </is>
      </c>
      <c r="B1" s="40" t="inlineStr">
        <is>
          <t>Ola</t>
        </is>
      </c>
      <c r="C1" s="40" t="inlineStr">
        <is>
          <t>Fase</t>
        </is>
      </c>
      <c r="D1" s="40" t="inlineStr">
        <is>
          <t>Nombre de fase</t>
        </is>
      </c>
      <c r="E1" s="40" t="inlineStr">
        <is>
          <t>It.</t>
        </is>
      </c>
      <c r="F1" s="40" t="inlineStr">
        <is>
          <t>Actividad</t>
        </is>
      </c>
      <c r="G1" s="40" t="inlineStr">
        <is>
          <t>Estado</t>
        </is>
      </c>
      <c r="H1" s="40" t="inlineStr">
        <is>
          <t>Avance</t>
        </is>
      </c>
      <c r="I1" s="40" t="inlineStr">
        <is>
          <t>Cuenta</t>
        </is>
      </c>
      <c r="J1" s="40" t="inlineStr">
        <is>
          <t>Notas y evidencia</t>
        </is>
      </c>
    </row>
    <row r="2" ht="23.25" customHeight="1" s="36">
      <c r="A2" s="57" t="n">
        <v>1</v>
      </c>
      <c r="B2" s="57" t="inlineStr">
        <is>
          <t>Ola 0 - Fundaciones</t>
        </is>
      </c>
      <c r="C2" s="57" t="inlineStr">
        <is>
          <t>F0</t>
        </is>
      </c>
      <c r="D2" s="57" t="inlineStr">
        <is>
          <t>Discovery</t>
        </is>
      </c>
      <c r="E2" s="58" t="inlineStr">
        <is>
          <t>0.1</t>
        </is>
      </c>
      <c r="F2" s="59" t="inlineStr">
        <is>
          <t>Definicion de producto, actores, dominios, modulos, procesos, arquitectura, roadmap, decision log, business rules, DoD</t>
        </is>
      </c>
      <c r="G2" s="60" t="inlineStr">
        <is>
          <t>Terminado</t>
        </is>
      </c>
      <c r="H2" s="61">
        <f>IFERROR(INDEX(Config!$B$3:$B$8,MATCH($G2,Config!$A$3:$A$8,0)),0)</f>
        <v/>
      </c>
      <c r="I2" s="60">
        <f>IFERROR(INDEX(Config!$C$3:$C$8,MATCH($G2,Config!$A$3:$A$8,0)),0)</f>
        <v/>
      </c>
      <c r="J2" s="59" t="inlineStr">
        <is>
          <t>18 documentos en docs/. DEC-001 a DEC-098 registradas</t>
        </is>
      </c>
    </row>
    <row r="3" ht="23.25" customHeight="1" s="36">
      <c r="A3" s="57" t="n">
        <v>2</v>
      </c>
      <c r="B3" s="57" t="inlineStr">
        <is>
          <t>Ola 0 - Fundaciones</t>
        </is>
      </c>
      <c r="C3" s="57" t="inlineStr">
        <is>
          <t>F1</t>
        </is>
      </c>
      <c r="D3" s="57" t="inlineStr">
        <is>
          <t>Arquitectura y esqueleto</t>
        </is>
      </c>
      <c r="E3" s="58" t="inlineStr">
        <is>
          <t>1.1</t>
        </is>
      </c>
      <c r="F3" s="59" t="inlineStr">
        <is>
          <t>Stack, hosting y proveedores definitivos (SMTP, storage, error tracking)</t>
        </is>
      </c>
      <c r="G3" s="60" t="inlineStr">
        <is>
          <t>En curso</t>
        </is>
      </c>
      <c r="H3" s="61">
        <f>IFERROR(INDEX(Config!$B$3:$B$8,MATCH($G3,Config!$A$3:$A$8,0)),0)</f>
        <v/>
      </c>
      <c r="I3" s="60">
        <f>IFERROR(INDEX(Config!$C$3:$C$8,MATCH($G3,Config!$A$3:$A$8,0)),0)</f>
        <v/>
      </c>
      <c r="J3" s="59" t="inlineStr">
        <is>
          <t>Stack cerrado (Laravel 12 / PHP 8.3 / MySQL-Percona). Hosting: solicitud redactada en tools/solicitud-hosting-mysql8.md, sin contratar. SMTP, S3 y error tracking sin proveedor</t>
        </is>
      </c>
    </row>
    <row r="4" ht="15" customHeight="1" s="36">
      <c r="A4" s="57" t="n">
        <v>3</v>
      </c>
      <c r="B4" s="57" t="inlineStr">
        <is>
          <t>Ola 0 - Fundaciones</t>
        </is>
      </c>
      <c r="C4" s="57" t="inlineStr">
        <is>
          <t>F1</t>
        </is>
      </c>
      <c r="D4" s="57" t="inlineStr">
        <is>
          <t>Arquitectura y esqueleto</t>
        </is>
      </c>
      <c r="E4" s="58" t="inlineStr">
        <is>
          <t>1.2</t>
        </is>
      </c>
      <c r="F4" s="59" t="inlineStr">
        <is>
          <t>Esqueleto del proyecto, estructura de modulos, Composer, .env.example</t>
        </is>
      </c>
      <c r="G4" s="60" t="inlineStr">
        <is>
          <t>Terminado</t>
        </is>
      </c>
      <c r="H4" s="61">
        <f>IFERROR(INDEX(Config!$B$3:$B$8,MATCH($G4,Config!$A$3:$A$8,0)),0)</f>
        <v/>
      </c>
      <c r="I4" s="60">
        <f>IFERROR(INDEX(Config!$C$3:$C$8,MATCH($G4,Config!$A$3:$A$8,0)),0)</f>
        <v/>
      </c>
      <c r="J4" s="59" t="inlineStr">
        <is>
          <t>13 contextos + Shared. .env.example en el repo</t>
        </is>
      </c>
    </row>
    <row r="5" ht="23.25" customHeight="1" s="36">
      <c r="A5" s="57" t="n">
        <v>4</v>
      </c>
      <c r="B5" s="57" t="inlineStr">
        <is>
          <t>Ola 0 - Fundaciones</t>
        </is>
      </c>
      <c r="C5" s="57" t="inlineStr">
        <is>
          <t>F1</t>
        </is>
      </c>
      <c r="D5" s="57" t="inlineStr">
        <is>
          <t>Arquitectura y esqueleto</t>
        </is>
      </c>
      <c r="E5" s="58" t="inlineStr">
        <is>
          <t>1.3</t>
        </is>
      </c>
      <c r="F5" s="59" t="inlineStr">
        <is>
          <t>CI: lint, analisis estatico, pruebas, Deptrac (fronteras de modulos)</t>
        </is>
      </c>
      <c r="G5" s="60" t="inlineStr">
        <is>
          <t>Terminado</t>
        </is>
      </c>
      <c r="H5" s="61">
        <f>IFERROR(INDEX(Config!$B$3:$B$8,MATCH($G5,Config!$A$3:$A$8,0)),0)</f>
        <v/>
      </c>
      <c r="I5" s="60">
        <f>IFERROR(INDEX(Config!$C$3:$C$8,MATCH($G5,Config!$A$3:$A$8,0)),0)</f>
        <v/>
      </c>
      <c r="J5" s="59" t="inlineStr">
        <is>
          <t>Seis puertas en verde: Pint, PHPStan, Deptrac, PHPUnit, vigencias, nombres entre capas. .github/workflows/ci.yml</t>
        </is>
      </c>
    </row>
    <row r="6" ht="23.25" customHeight="1" s="36">
      <c r="A6" s="57" t="n">
        <v>5</v>
      </c>
      <c r="B6" s="57" t="inlineStr">
        <is>
          <t>Ola 0 - Fundaciones</t>
        </is>
      </c>
      <c r="C6" s="57" t="inlineStr">
        <is>
          <t>F1</t>
        </is>
      </c>
      <c r="D6" s="57" t="inlineStr">
        <is>
          <t>Arquitectura y esqueleto</t>
        </is>
      </c>
      <c r="E6" s="58" t="inlineStr">
        <is>
          <t>1.4</t>
        </is>
      </c>
      <c r="F6" s="59" t="inlineStr">
        <is>
          <t>Convenciones: naming, commits, ramas, PR template, ADRs</t>
        </is>
      </c>
      <c r="G6" s="60" t="inlineStr">
        <is>
          <t>Terminado</t>
        </is>
      </c>
      <c r="H6" s="61">
        <f>IFERROR(INDEX(Config!$B$3:$B$8,MATCH($G6,Config!$A$3:$A$8,0)),0)</f>
        <v/>
      </c>
      <c r="I6" s="60">
        <f>IFERROR(INDEX(Config!$C$3:$C$8,MATCH($G6,Config!$A$3:$A$8,0)),0)</f>
        <v/>
      </c>
      <c r="J6" s="59" t="inlineStr">
        <is>
          <t>CONTRIBUTING.md + docs/03-ARCHITECTURE.md. Las decisiones van al DECISION LOG (DEC-nnn), no a ADRs sueltos</t>
        </is>
      </c>
    </row>
    <row r="7" ht="15" customHeight="1" s="36">
      <c r="A7" s="57" t="n">
        <v>6</v>
      </c>
      <c r="B7" s="57" t="inlineStr">
        <is>
          <t>Ola 0 - Fundaciones</t>
        </is>
      </c>
      <c r="C7" s="57" t="inlineStr">
        <is>
          <t>F2</t>
        </is>
      </c>
      <c r="D7" s="57" t="inlineStr">
        <is>
          <t>Modelo de datos</t>
        </is>
      </c>
      <c r="E7" s="58" t="inlineStr">
        <is>
          <t>2.1</t>
        </is>
      </c>
      <c r="F7" s="59" t="inlineStr">
        <is>
          <t>Entidades y glosario de negocio</t>
        </is>
      </c>
      <c r="G7" s="60" t="inlineStr">
        <is>
          <t>Terminado</t>
        </is>
      </c>
      <c r="H7" s="61">
        <f>IFERROR(INDEX(Config!$B$3:$B$8,MATCH($G7,Config!$A$3:$A$8,0)),0)</f>
        <v/>
      </c>
      <c r="I7" s="60">
        <f>IFERROR(INDEX(Config!$C$3:$C$8,MATCH($G7,Config!$A$3:$A$8,0)),0)</f>
        <v/>
      </c>
      <c r="J7" s="59" t="inlineStr">
        <is>
          <t>docs/fase-2/2.1</t>
        </is>
      </c>
    </row>
    <row r="8" ht="15" customHeight="1" s="36">
      <c r="A8" s="57" t="n">
        <v>7</v>
      </c>
      <c r="B8" s="57" t="inlineStr">
        <is>
          <t>Ola 0 - Fundaciones</t>
        </is>
      </c>
      <c r="C8" s="57" t="inlineStr">
        <is>
          <t>F2</t>
        </is>
      </c>
      <c r="D8" s="57" t="inlineStr">
        <is>
          <t>Modelo de datos</t>
        </is>
      </c>
      <c r="E8" s="58" t="inlineStr">
        <is>
          <t>2.2</t>
        </is>
      </c>
      <c r="F8" s="59" t="inlineStr">
        <is>
          <t>Relaciones y cardinalidades</t>
        </is>
      </c>
      <c r="G8" s="60" t="inlineStr">
        <is>
          <t>Terminado</t>
        </is>
      </c>
      <c r="H8" s="61">
        <f>IFERROR(INDEX(Config!$B$3:$B$8,MATCH($G8,Config!$A$3:$A$8,0)),0)</f>
        <v/>
      </c>
      <c r="I8" s="60">
        <f>IFERROR(INDEX(Config!$C$3:$C$8,MATCH($G8,Config!$A$3:$A$8,0)),0)</f>
        <v/>
      </c>
      <c r="J8" s="59" t="inlineStr">
        <is>
          <t>docs/fase-2/2.2</t>
        </is>
      </c>
    </row>
    <row r="9" ht="15" customHeight="1" s="36">
      <c r="A9" s="57" t="n">
        <v>8</v>
      </c>
      <c r="B9" s="57" t="inlineStr">
        <is>
          <t>Ola 0 - Fundaciones</t>
        </is>
      </c>
      <c r="C9" s="57" t="inlineStr">
        <is>
          <t>F2</t>
        </is>
      </c>
      <c r="D9" s="57" t="inlineStr">
        <is>
          <t>Modelo de datos</t>
        </is>
      </c>
      <c r="E9" s="58" t="inlineStr">
        <is>
          <t>2.3</t>
        </is>
      </c>
      <c r="F9" s="59" t="inlineStr">
        <is>
          <t>Normalizacion y separacion aplicacion/creador, cliente/marca/contacto</t>
        </is>
      </c>
      <c r="G9" s="60" t="inlineStr">
        <is>
          <t>Terminado</t>
        </is>
      </c>
      <c r="H9" s="61">
        <f>IFERROR(INDEX(Config!$B$3:$B$8,MATCH($G9,Config!$A$3:$A$8,0)),0)</f>
        <v/>
      </c>
      <c r="I9" s="60">
        <f>IFERROR(INDEX(Config!$C$3:$C$8,MATCH($G9,Config!$A$3:$A$8,0)),0)</f>
        <v/>
      </c>
      <c r="J9" s="59" t="inlineStr">
        <is>
          <t>docs/fase-2/2.3. Incluye N-03, implementada en 7.3</t>
        </is>
      </c>
    </row>
    <row r="10" ht="15" customHeight="1" s="36">
      <c r="A10" s="57" t="n">
        <v>9</v>
      </c>
      <c r="B10" s="57" t="inlineStr">
        <is>
          <t>Ola 0 - Fundaciones</t>
        </is>
      </c>
      <c r="C10" s="57" t="inlineStr">
        <is>
          <t>F2</t>
        </is>
      </c>
      <c r="D10" s="57" t="inlineStr">
        <is>
          <t>Modelo de datos</t>
        </is>
      </c>
      <c r="E10" s="58" t="inlineStr">
        <is>
          <t>2.4</t>
        </is>
      </c>
      <c r="F10" s="59" t="inlineStr">
        <is>
          <t>Estados, transiciones e historicos</t>
        </is>
      </c>
      <c r="G10" s="60" t="inlineStr">
        <is>
          <t>Terminado</t>
        </is>
      </c>
      <c r="H10" s="61">
        <f>IFERROR(INDEX(Config!$B$3:$B$8,MATCH($G10,Config!$A$3:$A$8,0)),0)</f>
        <v/>
      </c>
      <c r="I10" s="60">
        <f>IFERROR(INDEX(Config!$C$3:$C$8,MATCH($G10,Config!$A$3:$A$8,0)),0)</f>
        <v/>
      </c>
      <c r="J10" s="59" t="inlineStr">
        <is>
          <t>docs/fase-2/2.4 y 2.5. Tabla status_transitions + maquinas de estado en codigo</t>
        </is>
      </c>
    </row>
    <row r="11" ht="15" customHeight="1" s="36">
      <c r="A11" s="57" t="n">
        <v>10</v>
      </c>
      <c r="B11" s="57" t="inlineStr">
        <is>
          <t>Ola 0 - Fundaciones</t>
        </is>
      </c>
      <c r="C11" s="57" t="inlineStr">
        <is>
          <t>F2</t>
        </is>
      </c>
      <c r="D11" s="57" t="inlineStr">
        <is>
          <t>Modelo de datos</t>
        </is>
      </c>
      <c r="E11" s="58" t="inlineStr">
        <is>
          <t>2.5</t>
        </is>
      </c>
      <c r="F11" s="59" t="inlineStr">
        <is>
          <t>Finanzas: ledger, monedas, impuestos, retenciones, facturacion</t>
        </is>
      </c>
      <c r="G11" s="60" t="inlineStr">
        <is>
          <t>Terminado</t>
        </is>
      </c>
      <c r="H11" s="61">
        <f>IFERROR(INDEX(Config!$B$3:$B$8,MATCH($G11,Config!$A$3:$A$8,0)),0)</f>
        <v/>
      </c>
      <c r="I11" s="60">
        <f>IFERROR(INDEX(Config!$C$3:$C$8,MATCH($G11,Config!$A$3:$A$8,0)),0)</f>
        <v/>
      </c>
      <c r="J11" s="59" t="inlineStr">
        <is>
          <t>docs/fase-2/2.13 y 2.15. DISENO cerrado; la construccion es F9</t>
        </is>
      </c>
    </row>
    <row r="12" ht="23.25" customHeight="1" s="36">
      <c r="A12" s="57" t="n">
        <v>11</v>
      </c>
      <c r="B12" s="57" t="inlineStr">
        <is>
          <t>Ola 0 - Fundaciones</t>
        </is>
      </c>
      <c r="C12" s="57" t="inlineStr">
        <is>
          <t>F2</t>
        </is>
      </c>
      <c r="D12" s="57" t="inlineStr">
        <is>
          <t>Modelo de datos</t>
        </is>
      </c>
      <c r="E12" s="58" t="inlineStr">
        <is>
          <t>2.6</t>
        </is>
      </c>
      <c r="F12" s="59" t="inlineStr">
        <is>
          <t>Multi-entidad legal: marcas de plataforma, entidades legales, cobertura con vigencia, series, cuentas</t>
        </is>
      </c>
      <c r="G12" s="60" t="inlineStr">
        <is>
          <t>Terminado</t>
        </is>
      </c>
      <c r="H12" s="61">
        <f>IFERROR(INDEX(Config!$B$3:$B$8,MATCH($G12,Config!$A$3:$A$8,0)),0)</f>
        <v/>
      </c>
      <c r="I12" s="60">
        <f>IFERROR(INDEX(Config!$C$3:$C$8,MATCH($G12,Config!$A$3:$A$8,0)),0)</f>
        <v/>
      </c>
      <c r="J12" s="59" t="inlineStr">
        <is>
          <t>docs/fase-2/2.10. Construido en 4.5b</t>
        </is>
      </c>
    </row>
    <row r="13" ht="23.25" customHeight="1" s="36">
      <c r="A13" s="57" t="n">
        <v>12</v>
      </c>
      <c r="B13" s="57" t="inlineStr">
        <is>
          <t>Ola 0 - Fundaciones</t>
        </is>
      </c>
      <c r="C13" s="57" t="inlineStr">
        <is>
          <t>F2</t>
        </is>
      </c>
      <c r="D13" s="57" t="inlineStr">
        <is>
          <t>Modelo de datos</t>
        </is>
      </c>
      <c r="E13" s="58" t="inlineStr">
        <is>
          <t>2.7</t>
        </is>
      </c>
      <c r="F13" s="59" t="inlineStr">
        <is>
          <t>Integraciones: proveedores, conexiones, asignaciones con vigencia, credenciales, webhooks, trazas</t>
        </is>
      </c>
      <c r="G13" s="60" t="inlineStr">
        <is>
          <t>Pendiente</t>
        </is>
      </c>
      <c r="H13" s="61">
        <f>IFERROR(INDEX(Config!$B$3:$B$8,MATCH($G13,Config!$A$3:$A$8,0)),0)</f>
        <v/>
      </c>
      <c r="I13" s="60">
        <f>IFERROR(INDEX(Config!$C$3:$C$8,MATCH($G13,Config!$A$3:$A$8,0)),0)</f>
        <v/>
      </c>
      <c r="J13" s="59" t="inlineStr">
        <is>
          <t>Sin documento y sin tablas integration_*. Bloquea F4.6b y toda la F12</t>
        </is>
      </c>
    </row>
    <row r="14" ht="23.25" customHeight="1" s="36">
      <c r="A14" s="57" t="n">
        <v>13</v>
      </c>
      <c r="B14" s="57" t="inlineStr">
        <is>
          <t>Ola 0 - Fundaciones</t>
        </is>
      </c>
      <c r="C14" s="57" t="inlineStr">
        <is>
          <t>F2</t>
        </is>
      </c>
      <c r="D14" s="57" t="inlineStr">
        <is>
          <t>Modelo de datos</t>
        </is>
      </c>
      <c r="E14" s="58" t="inlineStr">
        <is>
          <t>2.8</t>
        </is>
      </c>
      <c r="F14" s="59" t="inlineStr">
        <is>
          <t>Multipais, multimoneda, multiidioma, zonas horarias</t>
        </is>
      </c>
      <c r="G14" s="60" t="inlineStr">
        <is>
          <t>En curso</t>
        </is>
      </c>
      <c r="H14" s="61">
        <f>IFERROR(INDEX(Config!$B$3:$B$8,MATCH($G14,Config!$A$3:$A$8,0)),0)</f>
        <v/>
      </c>
      <c r="I14" s="60">
        <f>IFERROR(INDEX(Config!$C$3:$C$8,MATCH($G14,Config!$A$3:$A$8,0)),0)</f>
        <v/>
      </c>
      <c r="J14" s="59" t="inlineStr">
        <is>
          <t>countries, currencies, languages y las traducciones existen y estan sembradas. Falta el documento y la revision de reglas de Peru incrustadas</t>
        </is>
      </c>
    </row>
    <row r="15" ht="15" customHeight="1" s="36">
      <c r="A15" s="57" t="n">
        <v>14</v>
      </c>
      <c r="B15" s="57" t="inlineStr">
        <is>
          <t>Ola 0 - Fundaciones</t>
        </is>
      </c>
      <c r="C15" s="57" t="inlineStr">
        <is>
          <t>F2</t>
        </is>
      </c>
      <c r="D15" s="57" t="inlineStr">
        <is>
          <t>Modelo de datos</t>
        </is>
      </c>
      <c r="E15" s="58" t="inlineStr">
        <is>
          <t>2.9</t>
        </is>
      </c>
      <c r="F15" s="59" t="inlineStr">
        <is>
          <t>Auditoria, permisos y ambito de acceso externo (cliente / creador)</t>
        </is>
      </c>
      <c r="G15" s="60" t="inlineStr">
        <is>
          <t>En curso</t>
        </is>
      </c>
      <c r="H15" s="61">
        <f>IFERROR(INDEX(Config!$B$3:$B$8,MATCH($G15,Config!$A$3:$A$8,0)),0)</f>
        <v/>
      </c>
      <c r="I15" s="60">
        <f>IFERROR(INDEX(Config!$C$3:$C$8,MATCH($G15,Config!$A$3:$A$8,0)),0)</f>
        <v/>
      </c>
      <c r="J15" s="59" t="inlineStr">
        <is>
          <t>Auditoria y permisos construidos (3.1, 3.2, 3.3). El AMBITO externo no: no hay portales todavia</t>
        </is>
      </c>
    </row>
    <row r="16" ht="15" customHeight="1" s="36">
      <c r="A16" s="57" t="n">
        <v>15</v>
      </c>
      <c r="B16" s="57" t="inlineStr">
        <is>
          <t>Ola 0 - Fundaciones</t>
        </is>
      </c>
      <c r="C16" s="57" t="inlineStr">
        <is>
          <t>F2</t>
        </is>
      </c>
      <c r="D16" s="57" t="inlineStr">
        <is>
          <t>Modelo de datos</t>
        </is>
      </c>
      <c r="E16" s="58" t="inlineStr">
        <is>
          <t>2.10</t>
        </is>
      </c>
      <c r="F16" s="59" t="inlineStr">
        <is>
          <t>Indices, volumetria, plan de crecimiento, archivado</t>
        </is>
      </c>
      <c r="G16" s="60" t="inlineStr">
        <is>
          <t>Aplazado</t>
        </is>
      </c>
      <c r="H16" s="61">
        <f>IFERROR(INDEX(Config!$B$3:$B$8,MATCH($G16,Config!$A$3:$A$8,0)),0)</f>
        <v/>
      </c>
      <c r="I16" s="60">
        <f>IFERROR(INDEX(Config!$C$3:$C$8,MATCH($G16,Config!$A$3:$A$8,0)),0)</f>
        <v/>
      </c>
      <c r="J16" s="59" t="inlineStr">
        <is>
          <t>Movida a proposito al final de F7 (docs/15 §5): los indices se disenan contra consultas reales</t>
        </is>
      </c>
    </row>
    <row r="17" ht="15" customHeight="1" s="36">
      <c r="A17" s="57" t="n">
        <v>16</v>
      </c>
      <c r="B17" s="57" t="inlineStr">
        <is>
          <t>Ola 0 - Fundaciones</t>
        </is>
      </c>
      <c r="C17" s="57" t="inlineStr">
        <is>
          <t>F2</t>
        </is>
      </c>
      <c r="D17" s="57" t="inlineStr">
        <is>
          <t>Modelo de datos</t>
        </is>
      </c>
      <c r="E17" s="58" t="inlineStr">
        <is>
          <t>2.11</t>
        </is>
      </c>
      <c r="F17" s="59" t="inlineStr">
        <is>
          <t>Revision adversarial del modelo + ERD final</t>
        </is>
      </c>
      <c r="G17" s="60" t="inlineStr">
        <is>
          <t>Terminado</t>
        </is>
      </c>
      <c r="H17" s="61">
        <f>IFERROR(INDEX(Config!$B$3:$B$8,MATCH($G17,Config!$A$3:$A$8,0)),0)</f>
        <v/>
      </c>
      <c r="I17" s="60">
        <f>IFERROR(INDEX(Config!$C$3:$C$8,MATCH($G17,Config!$A$3:$A$8,0)),0)</f>
        <v/>
      </c>
      <c r="J17" s="59" t="inlineStr">
        <is>
          <t>Hecha. Dejo siete hallazgos, los siete cerrados (el ultimo, T-23). Falta publicar el ERD como imagen</t>
        </is>
      </c>
    </row>
    <row r="18" ht="15" customHeight="1" s="36">
      <c r="A18" s="57" t="n">
        <v>17</v>
      </c>
      <c r="B18" s="57" t="inlineStr">
        <is>
          <t>Ola 0 - Fundaciones</t>
        </is>
      </c>
      <c r="C18" s="57" t="inlineStr">
        <is>
          <t>F3</t>
        </is>
      </c>
      <c r="D18" s="57" t="inlineStr">
        <is>
          <t>Design System y UX</t>
        </is>
      </c>
      <c r="E18" s="58" t="inlineStr">
        <is>
          <t>3.1</t>
        </is>
      </c>
      <c r="F18" s="59" t="inlineStr">
        <is>
          <t>Journeys de los 6 perfiles</t>
        </is>
      </c>
      <c r="G18" s="60" t="inlineStr">
        <is>
          <t>Pendiente</t>
        </is>
      </c>
      <c r="H18" s="61">
        <f>IFERROR(INDEX(Config!$B$3:$B$8,MATCH($G18,Config!$A$3:$A$8,0)),0)</f>
        <v/>
      </c>
      <c r="I18" s="60">
        <f>IFERROR(INDEX(Config!$C$3:$C$8,MATCH($G18,Config!$A$3:$A$8,0)),0)</f>
        <v/>
      </c>
      <c r="J18" s="59" t="n"/>
    </row>
    <row r="19" ht="15" customHeight="1" s="36">
      <c r="A19" s="57" t="n">
        <v>18</v>
      </c>
      <c r="B19" s="57" t="inlineStr">
        <is>
          <t>Ola 0 - Fundaciones</t>
        </is>
      </c>
      <c r="C19" s="57" t="inlineStr">
        <is>
          <t>F3</t>
        </is>
      </c>
      <c r="D19" s="57" t="inlineStr">
        <is>
          <t>Design System y UX</t>
        </is>
      </c>
      <c r="E19" s="58" t="inlineStr">
        <is>
          <t>3.2</t>
        </is>
      </c>
      <c r="F19" s="59" t="inlineStr">
        <is>
          <t>Tokens: color, tipografia, espaciado, radios, sombras, modo claro/oscuro</t>
        </is>
      </c>
      <c r="G19" s="60" t="inlineStr">
        <is>
          <t>Terminado</t>
        </is>
      </c>
      <c r="H19" s="61">
        <f>IFERROR(INDEX(Config!$B$3:$B$8,MATCH($G19,Config!$A$3:$A$8,0)),0)</f>
        <v/>
      </c>
      <c r="I19" s="60">
        <f>IFERROR(INDEX(Config!$C$3:$C$8,MATCH($G19,Config!$A$3:$A$8,0)),0)</f>
        <v/>
      </c>
      <c r="J19" s="59" t="inlineStr">
        <is>
          <t>Q-29/Q-30 respondidas (2026-08-30): la identidad visual se configura desde el admin (9.17). El kit de marca esta en marca/, pero el wordmark usa una tipografia de sistema y no una de diseno (T-71): en cuanto haya uno de verdad se sube desde la pantalla.</t>
        </is>
      </c>
    </row>
    <row r="20" ht="23.25" customHeight="1" s="36">
      <c r="A20" s="57" t="n">
        <v>19</v>
      </c>
      <c r="B20" s="57" t="inlineStr">
        <is>
          <t>Ola 0 - Fundaciones</t>
        </is>
      </c>
      <c r="C20" s="57" t="inlineStr">
        <is>
          <t>F3</t>
        </is>
      </c>
      <c r="D20" s="57" t="inlineStr">
        <is>
          <t>Design System y UX</t>
        </is>
      </c>
      <c r="E20" s="58" t="inlineStr">
        <is>
          <t>3.3</t>
        </is>
      </c>
      <c r="F20" s="59" t="inlineStr">
        <is>
          <t>Componentes base: botones, formularios, tablas, cards, badges, modales, tabs, alertas</t>
        </is>
      </c>
      <c r="G20" s="60" t="inlineStr">
        <is>
          <t>En curso</t>
        </is>
      </c>
      <c r="H20" s="61">
        <f>IFERROR(INDEX(Config!$B$3:$B$8,MATCH($G20,Config!$A$3:$A$8,0)),0)</f>
        <v/>
      </c>
      <c r="I20" s="60">
        <f>IFERROR(INDEX(Config!$C$3:$C$8,MATCH($G20,Config!$A$3:$A$8,0)),0)</f>
        <v/>
      </c>
      <c r="J20" s="59" t="inlineStr">
        <is>
          <t>Existen de facto en las plantillas del panel, sin catalogo ni documentacion</t>
        </is>
      </c>
    </row>
    <row r="21" ht="15" customHeight="1" s="36">
      <c r="A21" s="57" t="n">
        <v>20</v>
      </c>
      <c r="B21" s="57" t="inlineStr">
        <is>
          <t>Ola 0 - Fundaciones</t>
        </is>
      </c>
      <c r="C21" s="57" t="inlineStr">
        <is>
          <t>F3</t>
        </is>
      </c>
      <c r="D21" s="57" t="inlineStr">
        <is>
          <t>Design System y UX</t>
        </is>
      </c>
      <c r="E21" s="58" t="inlineStr">
        <is>
          <t>3.4</t>
        </is>
      </c>
      <c r="F21" s="59" t="inlineStr">
        <is>
          <t>Estados: vacio, carga, error, sin permisos, sin resultados</t>
        </is>
      </c>
      <c r="G21" s="60" t="inlineStr">
        <is>
          <t>En curso</t>
        </is>
      </c>
      <c r="H21" s="61">
        <f>IFERROR(INDEX(Config!$B$3:$B$8,MATCH($G21,Config!$A$3:$A$8,0)),0)</f>
        <v/>
      </c>
      <c r="I21" s="60">
        <f>IFERROR(INDEX(Config!$C$3:$C$8,MATCH($G21,Config!$A$3:$A$8,0)),0)</f>
        <v/>
      </c>
      <c r="J21" s="59" t="inlineStr">
        <is>
          <t>Vacio y sin permisos si (403 con motivo). Carga y error no estan sistematizados</t>
        </is>
      </c>
    </row>
    <row r="22" ht="15" customHeight="1" s="36">
      <c r="A22" s="57" t="n">
        <v>21</v>
      </c>
      <c r="B22" s="57" t="inlineStr">
        <is>
          <t>Ola 0 - Fundaciones</t>
        </is>
      </c>
      <c r="C22" s="57" t="inlineStr">
        <is>
          <t>F3</t>
        </is>
      </c>
      <c r="D22" s="57" t="inlineStr">
        <is>
          <t>Design System y UX</t>
        </is>
      </c>
      <c r="E22" s="58" t="inlineStr">
        <is>
          <t>3.5</t>
        </is>
      </c>
      <c r="F22" s="59" t="inlineStr">
        <is>
          <t>Wireframes de baja fidelidad de las 12 pantallas criticas</t>
        </is>
      </c>
      <c r="G22" s="60" t="inlineStr">
        <is>
          <t>Pendiente</t>
        </is>
      </c>
      <c r="H22" s="61">
        <f>IFERROR(INDEX(Config!$B$3:$B$8,MATCH($G22,Config!$A$3:$A$8,0)),0)</f>
        <v/>
      </c>
      <c r="I22" s="60">
        <f>IFERROR(INDEX(Config!$C$3:$C$8,MATCH($G22,Config!$A$3:$A$8,0)),0)</f>
        <v/>
      </c>
      <c r="J22" s="59" t="inlineStr">
        <is>
          <t>Se ha ido construyendo pantalla a pantalla sin wireframe previo</t>
        </is>
      </c>
    </row>
    <row r="23" ht="15" customHeight="1" s="36">
      <c r="A23" s="57" t="n">
        <v>22</v>
      </c>
      <c r="B23" s="57" t="inlineStr">
        <is>
          <t>Ola 0 - Fundaciones</t>
        </is>
      </c>
      <c r="C23" s="57" t="inlineStr">
        <is>
          <t>F3</t>
        </is>
      </c>
      <c r="D23" s="57" t="inlineStr">
        <is>
          <t>Design System y UX</t>
        </is>
      </c>
      <c r="E23" s="58" t="inlineStr">
        <is>
          <t>3.6</t>
        </is>
      </c>
      <c r="F23" s="59" t="inlineStr">
        <is>
          <t>Identidad diferenciada por portal</t>
        </is>
      </c>
      <c r="G23" s="60" t="inlineStr">
        <is>
          <t>Terminado</t>
        </is>
      </c>
      <c r="H23" s="61">
        <f>IFERROR(INDEX(Config!$B$3:$B$8,MATCH($G23,Config!$A$3:$A$8,0)),0)</f>
        <v/>
      </c>
      <c r="I23" s="60">
        <f>IFERROR(INDEX(Config!$C$3:$C$8,MATCH($G23,Config!$A$3:$A$8,0)),0)</f>
        <v/>
      </c>
      <c r="J23" s="59" t="inlineStr">
        <is>
          <t>Token de densidad por portal en design/tokens.css</t>
        </is>
      </c>
    </row>
    <row r="24" ht="15" customHeight="1" s="36">
      <c r="A24" s="57" t="n">
        <v>23</v>
      </c>
      <c r="B24" s="57" t="inlineStr">
        <is>
          <t>Ola 0 - Fundaciones</t>
        </is>
      </c>
      <c r="C24" s="57" t="inlineStr">
        <is>
          <t>F3</t>
        </is>
      </c>
      <c r="D24" s="57" t="inlineStr">
        <is>
          <t>Design System y UX</t>
        </is>
      </c>
      <c r="E24" s="58" t="inlineStr">
        <is>
          <t>3.7</t>
        </is>
      </c>
      <c r="F24" s="59" t="inlineStr">
        <is>
          <t>Sustituir assets del kit por los corregidos y publicar la guia de marca interna</t>
        </is>
      </c>
      <c r="G24" s="60" t="inlineStr">
        <is>
          <t>Pendiente</t>
        </is>
      </c>
      <c r="H24" s="61">
        <f>IFERROR(INDEX(Config!$B$3:$B$8,MATCH($G24,Config!$A$3:$A$8,0)),0)</f>
        <v/>
      </c>
      <c r="I24" s="60">
        <f>IFERROR(INDEX(Config!$C$3:$C$8,MATCH($G24,Config!$A$3:$A$8,0)),0)</f>
        <v/>
      </c>
      <c r="J24" s="59" t="inlineStr">
        <is>
          <t>Depende de Q-30 y Q-31</t>
        </is>
      </c>
    </row>
    <row r="25" ht="34.5" customHeight="1" s="36">
      <c r="A25" s="57" t="n">
        <v>24</v>
      </c>
      <c r="B25" s="57" t="inlineStr">
        <is>
          <t>Ola 0 - Fundaciones</t>
        </is>
      </c>
      <c r="C25" s="57" t="inlineStr">
        <is>
          <t>F4</t>
        </is>
      </c>
      <c r="D25" s="57" t="inlineStr">
        <is>
          <t>Core tecnico</t>
        </is>
      </c>
      <c r="E25" s="58" t="inlineStr">
        <is>
          <t>4.1</t>
        </is>
      </c>
      <c r="F25" s="59" t="inlineStr">
        <is>
          <t>Identidad: usuarios, login, logout, recuperacion, verificacion de email, sesiones</t>
        </is>
      </c>
      <c r="G25" s="60" t="inlineStr">
        <is>
          <t>Terminado</t>
        </is>
      </c>
      <c r="H25" s="61">
        <f>IFERROR(INDEX(Config!$B$3:$B$8,MATCH($G25,Config!$A$3:$A$8,0)),0)</f>
        <v/>
      </c>
      <c r="I25" s="60">
        <f>IFERROR(INDEX(Config!$C$3:$C$8,MATCH($G25,Config!$A$3:$A$8,0)),0)</f>
        <v/>
      </c>
      <c r="J25" s="59" t="inlineStr">
        <is>
          <t>docs/fase-5/5.9 y docs/fase-7/7.6b. DEC-113 a DEC-118 y DEC-126. Recuperacion por enlace, misma respuesta exista o no el correo, URL sin token. Desde 7.6b tampoco se teclea la del equipo (BR-SEC-004 cerrada). Falta la verificacion de correo</t>
        </is>
      </c>
    </row>
    <row r="26" ht="23.25" customHeight="1" s="36">
      <c r="A26" s="57" t="n">
        <v>25</v>
      </c>
      <c r="B26" s="57" t="inlineStr">
        <is>
          <t>Ola 0 - Fundaciones</t>
        </is>
      </c>
      <c r="C26" s="57" t="inlineStr">
        <is>
          <t>F4</t>
        </is>
      </c>
      <c r="D26" s="57" t="inlineStr">
        <is>
          <t>Core tecnico</t>
        </is>
      </c>
      <c r="E26" s="58" t="inlineStr">
        <is>
          <t>4.2</t>
        </is>
      </c>
      <c r="F26" s="59" t="inlineStr">
        <is>
          <t>RBAC: roles, permisos, politicas de recurso, pruebas de autorizacion negativas</t>
        </is>
      </c>
      <c r="G26" s="60" t="inlineStr">
        <is>
          <t>Terminado</t>
        </is>
      </c>
      <c r="H26" s="61">
        <f>IFERROR(INDEX(Config!$B$3:$B$8,MATCH($G26,Config!$A$3:$A$8,0)),0)</f>
        <v/>
      </c>
      <c r="I26" s="60">
        <f>IFERROR(INDEX(Config!$C$3:$C$8,MATCH($G26,Config!$A$3:$A$8,0)),0)</f>
        <v/>
      </c>
      <c r="J26" s="59" t="inlineStr">
        <is>
          <t>docs/fase-3/3.1. 127 permisos usados, todos existentes (puerta de nombres entre capas)</t>
        </is>
      </c>
    </row>
    <row r="27" ht="23.25" customHeight="1" s="36">
      <c r="A27" s="57" t="n">
        <v>26</v>
      </c>
      <c r="B27" s="57" t="inlineStr">
        <is>
          <t>Ola 0 - Fundaciones</t>
        </is>
      </c>
      <c r="C27" s="57" t="inlineStr">
        <is>
          <t>F4</t>
        </is>
      </c>
      <c r="D27" s="57" t="inlineStr">
        <is>
          <t>Core tecnico</t>
        </is>
      </c>
      <c r="E27" s="58" t="inlineStr">
        <is>
          <t>4.3</t>
        </is>
      </c>
      <c r="F27" s="59" t="inlineStr">
        <is>
          <t>Ambito de acceso externo: client_organization_id y creator_id por politica de recurso</t>
        </is>
      </c>
      <c r="G27" s="60" t="inlineStr">
        <is>
          <t>Pendiente</t>
        </is>
      </c>
      <c r="H27" s="61">
        <f>IFERROR(INDEX(Config!$B$3:$B$8,MATCH($G27,Config!$A$3:$A$8,0)),0)</f>
        <v/>
      </c>
      <c r="I27" s="60">
        <f>IFERROR(INDEX(Config!$C$3:$C$8,MATCH($G27,Config!$A$3:$A$8,0)),0)</f>
        <v/>
      </c>
      <c r="J27" s="59" t="inlineStr">
        <is>
          <t>No hay portales externos todavia. Llega con F6 y F13</t>
        </is>
      </c>
    </row>
    <row r="28" ht="15" customHeight="1" s="36">
      <c r="A28" s="57" t="n">
        <v>27</v>
      </c>
      <c r="B28" s="57" t="inlineStr">
        <is>
          <t>Ola 0 - Fundaciones</t>
        </is>
      </c>
      <c r="C28" s="57" t="inlineStr">
        <is>
          <t>F4</t>
        </is>
      </c>
      <c r="D28" s="57" t="inlineStr">
        <is>
          <t>Core tecnico</t>
        </is>
      </c>
      <c r="E28" s="58" t="inlineStr">
        <is>
          <t>4.3b</t>
        </is>
      </c>
      <c r="F28" s="59" t="inlineStr">
        <is>
          <t>MFA/TOTP obligatorio para roles con permisos financieros (BR-SEC-005)</t>
        </is>
      </c>
      <c r="G28" s="60" t="inlineStr">
        <is>
          <t>Pendiente</t>
        </is>
      </c>
      <c r="H28" s="61">
        <f>IFERROR(INDEX(Config!$B$3:$B$8,MATCH($G28,Config!$A$3:$A$8,0)),0)</f>
        <v/>
      </c>
      <c r="I28" s="60">
        <f>IFERROR(INDEX(Config!$C$3:$C$8,MATCH($G28,Config!$A$3:$A$8,0)),0)</f>
        <v/>
      </c>
      <c r="J28" s="59" t="inlineStr">
        <is>
          <t>Barato ahora, caro de retrofitear. Deberia entrar antes de F9</t>
        </is>
      </c>
    </row>
    <row r="29" ht="23.25" customHeight="1" s="36">
      <c r="A29" s="57" t="n">
        <v>28</v>
      </c>
      <c r="B29" s="57" t="inlineStr">
        <is>
          <t>Ola 0 - Fundaciones</t>
        </is>
      </c>
      <c r="C29" s="57" t="inlineStr">
        <is>
          <t>F4</t>
        </is>
      </c>
      <c r="D29" s="57" t="inlineStr">
        <is>
          <t>Core tecnico</t>
        </is>
      </c>
      <c r="E29" s="58" t="inlineStr">
        <is>
          <t>4.4</t>
        </is>
      </c>
      <c r="F29" s="59" t="inlineStr">
        <is>
          <t>Auditoria append-only + activity log, con request_id</t>
        </is>
      </c>
      <c r="G29" s="60" t="inlineStr">
        <is>
          <t>Terminado</t>
        </is>
      </c>
      <c r="H29" s="61">
        <f>IFERROR(INDEX(Config!$B$3:$B$8,MATCH($G29,Config!$A$3:$A$8,0)),0)</f>
        <v/>
      </c>
      <c r="I29" s="60">
        <f>IFERROR(INDEX(Config!$C$3:$C$8,MATCH($G29,Config!$A$3:$A$8,0)),0)</f>
        <v/>
      </c>
      <c r="J29" s="59" t="inlineStr">
        <is>
          <t>docs/fase-3/3.2 y 3.3. Protegida por dos usuarios de base de datos (DEC-085): falta ejecutar los GRANT en produccion</t>
        </is>
      </c>
    </row>
    <row r="30" ht="23.25" customHeight="1" s="36">
      <c r="A30" s="57" t="n">
        <v>29</v>
      </c>
      <c r="B30" s="57" t="inlineStr">
        <is>
          <t>Ola 0 - Fundaciones</t>
        </is>
      </c>
      <c r="C30" s="57" t="inlineStr">
        <is>
          <t>F4</t>
        </is>
      </c>
      <c r="D30" s="57" t="inlineStr">
        <is>
          <t>Core tecnico</t>
        </is>
      </c>
      <c r="E30" s="58" t="inlineStr">
        <is>
          <t>4.5</t>
        </is>
      </c>
      <c r="F30" s="59" t="inlineStr">
        <is>
          <t>Catalogos maestros + seeders (paises, monedas, idiomas, redes, tipos de documento)</t>
        </is>
      </c>
      <c r="G30" s="60" t="inlineStr">
        <is>
          <t>Terminado</t>
        </is>
      </c>
      <c r="H30" s="61">
        <f>IFERROR(INDEX(Config!$B$3:$B$8,MATCH($G30,Config!$A$3:$A$8,0)),0)</f>
        <v/>
      </c>
      <c r="I30" s="60">
        <f>IFERROR(INDEX(Config!$C$3:$C$8,MATCH($G30,Config!$A$3:$A$8,0)),0)</f>
        <v/>
      </c>
      <c r="J30" s="59" t="inlineStr">
        <is>
          <t>CimientosSeeder + pantalla de catalogos</t>
        </is>
      </c>
    </row>
    <row r="31" ht="23.25" customHeight="1" s="36">
      <c r="A31" s="57" t="n">
        <v>30</v>
      </c>
      <c r="B31" s="57" t="inlineStr">
        <is>
          <t>Ola 0 - Fundaciones</t>
        </is>
      </c>
      <c r="C31" s="57" t="inlineStr">
        <is>
          <t>F4</t>
        </is>
      </c>
      <c r="D31" s="57" t="inlineStr">
        <is>
          <t>Core tecnico</t>
        </is>
      </c>
      <c r="E31" s="58" t="inlineStr">
        <is>
          <t>4.5b</t>
        </is>
      </c>
      <c r="F31" s="59" t="inlineStr">
        <is>
          <t>Marcas de plataforma y entidades legales: CRUD, cobertura con vigencia, monedas, cuentas, contactos, activacion</t>
        </is>
      </c>
      <c r="G31" s="60" t="inlineStr">
        <is>
          <t>Terminado</t>
        </is>
      </c>
      <c r="H31" s="61">
        <f>IFERROR(INDEX(Config!$B$3:$B$8,MATCH($G31,Config!$A$3:$A$8,0)),0)</f>
        <v/>
      </c>
      <c r="I31" s="60">
        <f>IFERROR(INDEX(Config!$C$3:$C$8,MATCH($G31,Config!$A$3:$A$8,0)),0)</f>
        <v/>
      </c>
      <c r="J31" s="59" t="inlineStr">
        <is>
          <t>docs/fase-4/4.5. Cobertura sin solapes garantizada por el compilador de periodos</t>
        </is>
      </c>
    </row>
    <row r="32" ht="23.25" customHeight="1" s="36">
      <c r="A32" s="57" t="n">
        <v>31</v>
      </c>
      <c r="B32" s="57" t="inlineStr">
        <is>
          <t>Ola 0 - Fundaciones</t>
        </is>
      </c>
      <c r="C32" s="57" t="inlineStr">
        <is>
          <t>F4</t>
        </is>
      </c>
      <c r="D32" s="57" t="inlineStr">
        <is>
          <t>Core tecnico</t>
        </is>
      </c>
      <c r="E32" s="58" t="inlineStr">
        <is>
          <t>4.6</t>
        </is>
      </c>
      <c r="F32" s="59" t="inlineStr">
        <is>
          <t>Settings jerarquico en cascada (plataforma -&gt; marca -&gt; entidad -&gt; entidad x pais) + herencia</t>
        </is>
      </c>
      <c r="G32" s="60" t="inlineStr">
        <is>
          <t>Pendiente</t>
        </is>
      </c>
      <c r="H32" s="61">
        <f>IFERROR(INDEX(Config!$B$3:$B$8,MATCH($G32,Config!$A$3:$A$8,0)),0)</f>
        <v/>
      </c>
      <c r="I32" s="60">
        <f>IFERROR(INDEX(Config!$C$3:$C$8,MATCH($G32,Config!$A$3:$A$8,0)),0)</f>
        <v/>
      </c>
      <c r="J32" s="59" t="inlineStr">
        <is>
          <t>Sin tabla settings</t>
        </is>
      </c>
    </row>
    <row r="33" ht="15" customHeight="1" s="36">
      <c r="A33" s="57" t="n">
        <v>32</v>
      </c>
      <c r="B33" s="57" t="inlineStr">
        <is>
          <t>Ola 0 - Fundaciones</t>
        </is>
      </c>
      <c r="C33" s="57" t="inlineStr">
        <is>
          <t>F4</t>
        </is>
      </c>
      <c r="D33" s="57" t="inlineStr">
        <is>
          <t>Core tecnico</t>
        </is>
      </c>
      <c r="E33" s="58" t="inlineStr">
        <is>
          <t>4.6b</t>
        </is>
      </c>
      <c r="F33" s="59" t="inlineStr">
        <is>
          <t>Registro de integraciones + resolver + boveda de credenciales</t>
        </is>
      </c>
      <c r="G33" s="60" t="inlineStr">
        <is>
          <t>Pendiente</t>
        </is>
      </c>
      <c r="H33" s="61">
        <f>IFERROR(INDEX(Config!$B$3:$B$8,MATCH($G33,Config!$A$3:$A$8,0)),0)</f>
        <v/>
      </c>
      <c r="I33" s="60">
        <f>IFERROR(INDEX(Config!$C$3:$C$8,MATCH($G33,Config!$A$3:$A$8,0)),0)</f>
        <v/>
      </c>
      <c r="J33" s="59" t="inlineStr">
        <is>
          <t>Bloqueado por 2.7. Es prerrequisito de F12 entera</t>
        </is>
      </c>
    </row>
    <row r="34" ht="23.25" customHeight="1" s="36">
      <c r="A34" s="57" t="n">
        <v>33</v>
      </c>
      <c r="B34" s="57" t="inlineStr">
        <is>
          <t>Ola 0 - Fundaciones</t>
        </is>
      </c>
      <c r="C34" s="57" t="inlineStr">
        <is>
          <t>F4</t>
        </is>
      </c>
      <c r="D34" s="57" t="inlineStr">
        <is>
          <t>Core tecnico</t>
        </is>
      </c>
      <c r="E34" s="58" t="inlineStr">
        <is>
          <t>4.7</t>
        </is>
      </c>
      <c r="F34" s="59" t="inlineStr">
        <is>
          <t>File Manager sobre S3 + validacion por contenido + URLs firmadas</t>
        </is>
      </c>
      <c r="G34" s="60" t="inlineStr">
        <is>
          <t>En curso</t>
        </is>
      </c>
      <c r="H34" s="61">
        <f>IFERROR(INDEX(Config!$B$3:$B$8,MATCH($G34,Config!$A$3:$A$8,0)),0)</f>
        <v/>
      </c>
      <c r="I34" s="60">
        <f>IFERROR(INDEX(Config!$C$3:$C$8,MATCH($G34,Config!$A$3:$A$8,0)),0)</f>
        <v/>
      </c>
      <c r="J34" s="59" t="inlineStr">
        <is>
          <t>Tabla files y subida local funcionando (identidad del creador). Falta S3 y URLs firmadas: depende de la cuenta de storage</t>
        </is>
      </c>
    </row>
    <row r="35" ht="23.25" customHeight="1" s="36">
      <c r="A35" s="57" t="n">
        <v>34</v>
      </c>
      <c r="B35" s="57" t="inlineStr">
        <is>
          <t>Ola 0 - Fundaciones</t>
        </is>
      </c>
      <c r="C35" s="57" t="inlineStr">
        <is>
          <t>F4</t>
        </is>
      </c>
      <c r="D35" s="57" t="inlineStr">
        <is>
          <t>Core tecnico</t>
        </is>
      </c>
      <c r="E35" s="58" t="inlineStr">
        <is>
          <t>4.8</t>
        </is>
      </c>
      <c r="F35" s="59" t="inlineStr">
        <is>
          <t>Colas, scheduler, workers, Horizon</t>
        </is>
      </c>
      <c r="G35" s="60" t="inlineStr">
        <is>
          <t>En curso</t>
        </is>
      </c>
      <c r="H35" s="61">
        <f>IFERROR(INDEX(Config!$B$3:$B$8,MATCH($G35,Config!$A$3:$A$8,0)),0)</f>
        <v/>
      </c>
      <c r="I35" s="60">
        <f>IFERROR(INDEX(Config!$C$3:$C$8,MATCH($G35,Config!$A$3:$A$8,0)),0)</f>
        <v/>
      </c>
      <c r="J35" s="59" t="inlineStr">
        <is>
          <t>F4.9 estreno la cola: EnviarCorreo es el primer job propio, con QUEUE_CONNECTION=database. Faltan scheduler, supervisor y panel</t>
        </is>
      </c>
    </row>
    <row r="36" ht="23.25" customHeight="1" s="36">
      <c r="A36" s="57" t="n">
        <v>35</v>
      </c>
      <c r="B36" s="57" t="inlineStr">
        <is>
          <t>Ola 0 - Fundaciones</t>
        </is>
      </c>
      <c r="C36" s="57" t="inlineStr">
        <is>
          <t>F4</t>
        </is>
      </c>
      <c r="D36" s="57" t="inlineStr">
        <is>
          <t>Core tecnico</t>
        </is>
      </c>
      <c r="E36" s="58" t="inlineStr">
        <is>
          <t>4.9</t>
        </is>
      </c>
      <c r="F36" s="59" t="inlineStr">
        <is>
          <t>Email: plantillas en BD con idioma/version/variables + Email Log + reintentos</t>
        </is>
      </c>
      <c r="G36" s="60" t="inlineStr">
        <is>
          <t>Terminado</t>
        </is>
      </c>
      <c r="H36" s="61">
        <f>IFERROR(INDEX(Config!$B$3:$B$8,MATCH($G36,Config!$A$3:$A$8,0)),0)</f>
        <v/>
      </c>
      <c r="I36" s="60">
        <f>IFERROR(INDEX(Config!$C$3:$C$8,MATCH($G36,Config!$A$3:$A$8,0)),0)</f>
        <v/>
      </c>
      <c r="J36" s="59" t="inlineStr">
        <is>
          <t>docs/fase-4/4.12-CORREO.md. DEC-106 a DEC-108. Adelantada porque bloqueaba 7.6, 5.9, 4.1 y T-10. Falta la cuenta de SMTP (Q-20)</t>
        </is>
      </c>
    </row>
    <row r="37" ht="23.25" customHeight="1" s="36">
      <c r="A37" s="57" t="n">
        <v>36</v>
      </c>
      <c r="B37" s="57" t="inlineStr">
        <is>
          <t>Ola 0 - Fundaciones</t>
        </is>
      </c>
      <c r="C37" s="57" t="inlineStr">
        <is>
          <t>F4</t>
        </is>
      </c>
      <c r="D37" s="57" t="inlineStr">
        <is>
          <t>Core tecnico</t>
        </is>
      </c>
      <c r="E37" s="58" t="inlineStr">
        <is>
          <t>4.10</t>
        </is>
      </c>
      <c r="F37" s="59" t="inlineStr">
        <is>
          <t>Notification Center in-app + preferencias</t>
        </is>
      </c>
      <c r="G37" s="60" t="inlineStr">
        <is>
          <t>Pendiente</t>
        </is>
      </c>
      <c r="H37" s="61">
        <f>IFERROR(INDEX(Config!$B$3:$B$8,MATCH($G37,Config!$A$3:$A$8,0)),0)</f>
        <v/>
      </c>
      <c r="I37" s="60">
        <f>IFERROR(INDEX(Config!$C$3:$C$8,MATCH($G37,Config!$A$3:$A$8,0)),0)</f>
        <v/>
      </c>
      <c r="J37" s="59" t="inlineStr">
        <is>
          <t>4.13 dejo el bus de eventos de dominio (App/Shared/Eventos + domain_events): el centro de notificaciones es otro oyente sobre el mismo bus</t>
        </is>
      </c>
    </row>
    <row r="38" ht="23.25" customHeight="1" s="36">
      <c r="A38" s="57" t="n">
        <v>37</v>
      </c>
      <c r="B38" s="57" t="inlineStr">
        <is>
          <t>Ola 0 - Fundaciones</t>
        </is>
      </c>
      <c r="C38" s="57" t="inlineStr">
        <is>
          <t>F4</t>
        </is>
      </c>
      <c r="D38" s="57" t="inlineStr">
        <is>
          <t>Core tecnico</t>
        </is>
      </c>
      <c r="E38" s="58" t="inlineStr">
        <is>
          <t>4.11</t>
        </is>
      </c>
      <c r="F38" s="59" t="inlineStr">
        <is>
          <t>Manejo de errores, logging estructurado, paginas de error, health check</t>
        </is>
      </c>
      <c r="G38" s="60" t="inlineStr">
        <is>
          <t>En curso</t>
        </is>
      </c>
      <c r="H38" s="61">
        <f>IFERROR(INDEX(Config!$B$3:$B$8,MATCH($G38,Config!$A$3:$A$8,0)),0)</f>
        <v/>
      </c>
      <c r="I38" s="60">
        <f>IFERROR(INDEX(Config!$C$3:$C$8,MATCH($G38,Config!$A$3:$A$8,0)),0)</f>
        <v/>
      </c>
      <c r="J38" s="59" t="inlineStr">
        <is>
          <t>Los 403/404/409 dicen el motivo con palabras en todo el sistema. Falta logging estructurado y health check</t>
        </is>
      </c>
    </row>
    <row r="39" ht="23.25" customHeight="1" s="36">
      <c r="A39" s="57" t="n">
        <v>38</v>
      </c>
      <c r="B39" s="57" t="inlineStr">
        <is>
          <t>Ola 0 - Fundaciones</t>
        </is>
      </c>
      <c r="C39" s="57" t="inlineStr">
        <is>
          <t>F4</t>
        </is>
      </c>
      <c r="D39" s="57" t="inlineStr">
        <is>
          <t>Core tecnico</t>
        </is>
      </c>
      <c r="E39" s="58" t="inlineStr">
        <is>
          <t>4.12</t>
        </is>
      </c>
      <c r="F39" s="59" t="inlineStr">
        <is>
          <t>Layout de admin, navegacion, busqueda basica, tabla estandar con filtros/orden/paginacion</t>
        </is>
      </c>
      <c r="G39" s="60" t="inlineStr">
        <is>
          <t>Terminado</t>
        </is>
      </c>
      <c r="H39" s="61">
        <f>IFERROR(INDEX(Config!$B$3:$B$8,MATCH($G39,Config!$A$3:$A$8,0)),0)</f>
        <v/>
      </c>
      <c r="I39" s="60">
        <f>IFERROR(INDEX(Config!$C$3:$C$8,MATCH($G39,Config!$A$3:$A$8,0)),0)</f>
        <v/>
      </c>
      <c r="J39" s="59" t="inlineStr">
        <is>
          <t>layouts/panel + 21 plantillas. La busqueda global no existe; los listados filtran</t>
        </is>
      </c>
    </row>
    <row r="40" ht="15" customHeight="1" s="36">
      <c r="A40" s="57" t="n">
        <v>39</v>
      </c>
      <c r="B40" s="57" t="inlineStr">
        <is>
          <t>Ola 0 - Fundaciones</t>
        </is>
      </c>
      <c r="C40" s="57" t="inlineStr">
        <is>
          <t>F4</t>
        </is>
      </c>
      <c r="D40" s="57" t="inlineStr">
        <is>
          <t>Core tecnico</t>
        </is>
      </c>
      <c r="E40" s="58" t="inlineStr">
        <is>
          <t>4.13</t>
        </is>
      </c>
      <c r="F40" s="59" t="inlineStr">
        <is>
          <t>QA de fase + Phase Review Report</t>
        </is>
      </c>
      <c r="G40" s="60" t="inlineStr">
        <is>
          <t>Pendiente</t>
        </is>
      </c>
      <c r="H40" s="61">
        <f>IFERROR(INDEX(Config!$B$3:$B$8,MATCH($G40,Config!$A$3:$A$8,0)),0)</f>
        <v/>
      </c>
      <c r="I40" s="60">
        <f>IFERROR(INDEX(Config!$C$3:$C$8,MATCH($G40,Config!$A$3:$A$8,0)),0)</f>
        <v/>
      </c>
      <c r="J40" s="59" t="n"/>
    </row>
    <row r="41" ht="15" customHeight="1" s="36">
      <c r="A41" s="57" t="n">
        <v>40</v>
      </c>
      <c r="B41" s="57" t="inlineStr">
        <is>
          <t>Ola 1 - MVP: operar sin Excel</t>
        </is>
      </c>
      <c r="C41" s="57" t="inlineStr">
        <is>
          <t>F5</t>
        </is>
      </c>
      <c r="D41" s="57" t="inlineStr">
        <is>
          <t>Adquisicion de creadores</t>
        </is>
      </c>
      <c r="E41" s="58" t="inlineStr">
        <is>
          <t>5.1</t>
        </is>
      </c>
      <c r="F41" s="59" t="inlineStr">
        <is>
          <t>Landing de creadores (responsive, SEO, consentimientos)</t>
        </is>
      </c>
      <c r="G41" s="60" t="inlineStr">
        <is>
          <t>Pendiente</t>
        </is>
      </c>
      <c r="H41" s="61">
        <f>IFERROR(INDEX(Config!$B$3:$B$8,MATCH($G41,Config!$A$3:$A$8,0)),0)</f>
        <v/>
      </c>
      <c r="I41" s="60">
        <f>IFERROR(INDEX(Config!$C$3:$C$8,MATCH($G41,Config!$A$3:$A$8,0)),0)</f>
        <v/>
      </c>
      <c r="J41" s="59" t="inlineStr">
        <is>
          <t>No hay ninguna ruta publica</t>
        </is>
      </c>
    </row>
    <row r="42" ht="15" customHeight="1" s="36">
      <c r="A42" s="57" t="n">
        <v>41</v>
      </c>
      <c r="B42" s="57" t="inlineStr">
        <is>
          <t>Ola 1 - MVP: operar sin Excel</t>
        </is>
      </c>
      <c r="C42" s="57" t="inlineStr">
        <is>
          <t>F5</t>
        </is>
      </c>
      <c r="D42" s="57" t="inlineStr">
        <is>
          <t>Adquisicion de creadores</t>
        </is>
      </c>
      <c r="E42" s="58" t="inlineStr">
        <is>
          <t>5.2</t>
        </is>
      </c>
      <c r="F42" s="59" t="inlineStr">
        <is>
          <t>Formulario de aplicacion multi-paso con guardado parcial</t>
        </is>
      </c>
      <c r="G42" s="60" t="inlineStr">
        <is>
          <t>Pendiente</t>
        </is>
      </c>
      <c r="H42" s="61">
        <f>IFERROR(INDEX(Config!$B$3:$B$8,MATCH($G42,Config!$A$3:$A$8,0)),0)</f>
        <v/>
      </c>
      <c r="I42" s="60">
        <f>IFERROR(INDEX(Config!$C$3:$C$8,MATCH($G42,Config!$A$3:$A$8,0)),0)</f>
        <v/>
      </c>
      <c r="J42" s="59" t="inlineStr">
        <is>
          <t>La tabla creator_applications existe; el formulario publico no</t>
        </is>
      </c>
    </row>
    <row r="43" ht="15" customHeight="1" s="36">
      <c r="A43" s="57" t="n">
        <v>42</v>
      </c>
      <c r="B43" s="57" t="inlineStr">
        <is>
          <t>Ola 1 - MVP: operar sin Excel</t>
        </is>
      </c>
      <c r="C43" s="57" t="inlineStr">
        <is>
          <t>F5</t>
        </is>
      </c>
      <c r="D43" s="57" t="inlineStr">
        <is>
          <t>Adquisicion de creadores</t>
        </is>
      </c>
      <c r="E43" s="58" t="inlineStr">
        <is>
          <t>5.3</t>
        </is>
      </c>
      <c r="F43" s="59" t="inlineStr">
        <is>
          <t>Cuentas sociales declaradas + metricas + evidencias</t>
        </is>
      </c>
      <c r="G43" s="60" t="inlineStr">
        <is>
          <t>Terminado</t>
        </is>
      </c>
      <c r="H43" s="61">
        <f>IFERROR(INDEX(Config!$B$3:$B$8,MATCH($G43,Config!$A$3:$A$8,0)),0)</f>
        <v/>
      </c>
      <c r="I43" s="60">
        <f>IFERROR(INDEX(Config!$C$3:$C$8,MATCH($G43,Config!$A$3:$A$8,0)),0)</f>
        <v/>
      </c>
      <c r="J43" s="59" t="inlineStr">
        <is>
          <t>docs/fase-3/3.7. Con verificacion y snapshots de metricas</t>
        </is>
      </c>
    </row>
    <row r="44" ht="15" customHeight="1" s="36">
      <c r="A44" s="57" t="n">
        <v>43</v>
      </c>
      <c r="B44" s="57" t="inlineStr">
        <is>
          <t>Ola 1 - MVP: operar sin Excel</t>
        </is>
      </c>
      <c r="C44" s="57" t="inlineStr">
        <is>
          <t>F5</t>
        </is>
      </c>
      <c r="D44" s="57" t="inlineStr">
        <is>
          <t>Adquisicion de creadores</t>
        </is>
      </c>
      <c r="E44" s="58" t="inlineStr">
        <is>
          <t>5.4</t>
        </is>
      </c>
      <c r="F44" s="59" t="inlineStr">
        <is>
          <t>Subida de archivos y capturas de insights</t>
        </is>
      </c>
      <c r="G44" s="60" t="inlineStr">
        <is>
          <t>En curso</t>
        </is>
      </c>
      <c r="H44" s="61">
        <f>IFERROR(INDEX(Config!$B$3:$B$8,MATCH($G44,Config!$A$3:$A$8,0)),0)</f>
        <v/>
      </c>
      <c r="I44" s="60">
        <f>IFERROR(INDEX(Config!$C$3:$C$8,MATCH($G44,Config!$A$3:$A$8,0)),0)</f>
        <v/>
      </c>
      <c r="J44" s="59" t="inlineStr">
        <is>
          <t>La subida existe para identidad; falta el flujo de insights de redes</t>
        </is>
      </c>
    </row>
    <row r="45" ht="23.25" customHeight="1" s="36">
      <c r="A45" s="57" t="n">
        <v>44</v>
      </c>
      <c r="B45" s="57" t="inlineStr">
        <is>
          <t>Ola 1 - MVP: operar sin Excel</t>
        </is>
      </c>
      <c r="C45" s="57" t="inlineStr">
        <is>
          <t>F5</t>
        </is>
      </c>
      <c r="D45" s="57" t="inlineStr">
        <is>
          <t>Adquisicion de creadores</t>
        </is>
      </c>
      <c r="E45" s="58" t="inlineStr">
        <is>
          <t>5.5</t>
        </is>
      </c>
      <c r="F45" s="59" t="inlineStr">
        <is>
          <t>Deteccion de duplicados y validaciones anti-basura (honeypot, rate limit, verificacion de email)</t>
        </is>
      </c>
      <c r="G45" s="60" t="inlineStr">
        <is>
          <t>En curso</t>
        </is>
      </c>
      <c r="H45" s="61">
        <f>IFERROR(INDEX(Config!$B$3:$B$8,MATCH($G45,Config!$A$3:$A$8,0)),0)</f>
        <v/>
      </c>
      <c r="I45" s="60">
        <f>IFERROR(INDEX(Config!$C$3:$C$8,MATCH($G45,Config!$A$3:$A$8,0)),0)</f>
        <v/>
      </c>
      <c r="J45" s="59" t="inlineStr">
        <is>
          <t>Duplicados: huellas de cuenta de pago con convergencia (4.10). Anti-basura publico: no, porque no hay formulario publico</t>
        </is>
      </c>
    </row>
    <row r="46" ht="23.25" customHeight="1" s="36">
      <c r="A46" s="57" t="n">
        <v>45</v>
      </c>
      <c r="B46" s="57" t="inlineStr">
        <is>
          <t>Ola 1 - MVP: operar sin Excel</t>
        </is>
      </c>
      <c r="C46" s="57" t="inlineStr">
        <is>
          <t>F5</t>
        </is>
      </c>
      <c r="D46" s="57" t="inlineStr">
        <is>
          <t>Adquisicion de creadores</t>
        </is>
      </c>
      <c r="E46" s="58" t="inlineStr">
        <is>
          <t>5.6</t>
        </is>
      </c>
      <c r="F46" s="59" t="inlineStr">
        <is>
          <t>Importacion masiva CSV/Excel con mapeo, previsualizacion, validacion, resumen y reversion</t>
        </is>
      </c>
      <c r="G46" s="60" t="inlineStr">
        <is>
          <t>En curso</t>
        </is>
      </c>
      <c r="H46" s="61">
        <f>IFERROR(INDEX(Config!$B$3:$B$8,MATCH($G46,Config!$A$3:$A$8,0)),0)</f>
        <v/>
      </c>
      <c r="I46" s="60">
        <f>IFERROR(INDEX(Config!$C$3:$C$8,MATCH($G46,Config!$A$3:$A$8,0)),0)</f>
        <v/>
      </c>
      <c r="J46" s="59" t="inlineStr">
        <is>
          <t>Plantilla CSV y guia escritas (tools/). El importador no esta construido</t>
        </is>
      </c>
    </row>
    <row r="47" ht="15" customHeight="1" s="36">
      <c r="A47" s="57" t="n">
        <v>46</v>
      </c>
      <c r="B47" s="57" t="inlineStr">
        <is>
          <t>Ola 1 - MVP: operar sin Excel</t>
        </is>
      </c>
      <c r="C47" s="57" t="inlineStr">
        <is>
          <t>F5</t>
        </is>
      </c>
      <c r="D47" s="57" t="inlineStr">
        <is>
          <t>Adquisicion de creadores</t>
        </is>
      </c>
      <c r="E47" s="58" t="inlineStr">
        <is>
          <t>5.7</t>
        </is>
      </c>
      <c r="F47" s="59" t="inlineStr">
        <is>
          <t>Bandeja de revision + ficha 360 + notas internas</t>
        </is>
      </c>
      <c r="G47" s="60" t="inlineStr">
        <is>
          <t>Terminado</t>
        </is>
      </c>
      <c r="H47" s="61">
        <f>IFERROR(INDEX(Config!$B$3:$B$8,MATCH($G47,Config!$A$3:$A$8,0)),0)</f>
        <v/>
      </c>
      <c r="I47" s="60">
        <f>IFERROR(INDEX(Config!$C$3:$C$8,MATCH($G47,Config!$A$3:$A$8,0)),0)</f>
        <v/>
      </c>
      <c r="J47" s="59" t="inlineStr">
        <is>
          <t>docs/fase-3/3.4. Rutas solicitudes.* y creadores.show</t>
        </is>
      </c>
    </row>
    <row r="48" ht="23.25" customHeight="1" s="36">
      <c r="A48" s="57" t="n">
        <v>47</v>
      </c>
      <c r="B48" s="57" t="inlineStr">
        <is>
          <t>Ola 1 - MVP: operar sin Excel</t>
        </is>
      </c>
      <c r="C48" s="57" t="inlineStr">
        <is>
          <t>F5</t>
        </is>
      </c>
      <c r="D48" s="57" t="inlineStr">
        <is>
          <t>Adquisicion de creadores</t>
        </is>
      </c>
      <c r="E48" s="58" t="inlineStr">
        <is>
          <t>5.8</t>
        </is>
      </c>
      <c r="F48" s="59" t="inlineStr">
        <is>
          <t>Maquina de estados + aprobar/rechazar/solicitar informacion con motivos tipificados</t>
        </is>
      </c>
      <c r="G48" s="60" t="inlineStr">
        <is>
          <t>Terminado</t>
        </is>
      </c>
      <c r="H48" s="61">
        <f>IFERROR(INDEX(Config!$B$3:$B$8,MATCH($G48,Config!$A$3:$A$8,0)),0)</f>
        <v/>
      </c>
      <c r="I48" s="60">
        <f>IFERROR(INDEX(Config!$C$3:$C$8,MATCH($G48,Config!$A$3:$A$8,0)),0)</f>
        <v/>
      </c>
      <c r="J48" s="59" t="inlineStr">
        <is>
          <t>docs/fase-3/3.4 y 3.5. Activacion con seis requisitos</t>
        </is>
      </c>
    </row>
    <row r="49" ht="23.25" customHeight="1" s="36">
      <c r="A49" s="57" t="n">
        <v>48</v>
      </c>
      <c r="B49" s="57" t="inlineStr">
        <is>
          <t>Ola 1 - MVP: operar sin Excel</t>
        </is>
      </c>
      <c r="C49" s="57" t="inlineStr">
        <is>
          <t>F5</t>
        </is>
      </c>
      <c r="D49" s="57" t="inlineStr">
        <is>
          <t>Adquisicion de creadores</t>
        </is>
      </c>
      <c r="E49" s="58" t="inlineStr">
        <is>
          <t>5.9</t>
        </is>
      </c>
      <c r="F49" s="59" t="inlineStr">
        <is>
          <t>Aprobacion -&gt; creacion de usuario + enlace seguro de contrasena + emails</t>
        </is>
      </c>
      <c r="G49" s="60" t="inlineStr">
        <is>
          <t>Terminado</t>
        </is>
      </c>
      <c r="H49" s="61">
        <f>IFERROR(INDEX(Config!$B$3:$B$8,MATCH($G49,Config!$A$3:$A$8,0)),0)</f>
        <v/>
      </c>
      <c r="I49" s="60">
        <f>IFERROR(INDEX(Config!$C$3:$C$8,MATCH($G49,Config!$A$3:$A$8,0)),0)</f>
        <v/>
      </c>
      <c r="J49" s="59" t="inlineStr">
        <is>
          <t>docs/fase-5/5.9-ENLACE-DE-CONTRASENA.md. Crea la cuenta, escribe creators.user_id y manda el enlace de 72 h. La cuenta nace con una contrasena que no conoce nadie</t>
        </is>
      </c>
    </row>
    <row r="50" ht="15" customHeight="1" s="36">
      <c r="A50" s="57" t="n">
        <v>49</v>
      </c>
      <c r="B50" s="57" t="inlineStr">
        <is>
          <t>Ola 1 - MVP: operar sin Excel</t>
        </is>
      </c>
      <c r="C50" s="57" t="inlineStr">
        <is>
          <t>F5</t>
        </is>
      </c>
      <c r="D50" s="57" t="inlineStr">
        <is>
          <t>Adquisicion de creadores</t>
        </is>
      </c>
      <c r="E50" s="58" t="inlineStr">
        <is>
          <t>5.10</t>
        </is>
      </c>
      <c r="F50" s="59" t="inlineStr">
        <is>
          <t>Blacklist</t>
        </is>
      </c>
      <c r="G50" s="60" t="inlineStr">
        <is>
          <t>En curso</t>
        </is>
      </c>
      <c r="H50" s="61">
        <f>IFERROR(INDEX(Config!$B$3:$B$8,MATCH($G50,Config!$A$3:$A$8,0)),0)</f>
        <v/>
      </c>
      <c r="I50" s="60">
        <f>IFERROR(INDEX(Config!$C$3:$C$8,MATCH($G50,Config!$A$3:$A$8,0)),0)</f>
        <v/>
      </c>
      <c r="J50" s="59" t="inlineStr">
        <is>
          <t>El estado blacklisted existe en creadores y clientes. Falta la pantalla y el motivo tipificado</t>
        </is>
      </c>
    </row>
    <row r="51" ht="15" customHeight="1" s="36">
      <c r="A51" s="57" t="n">
        <v>50</v>
      </c>
      <c r="B51" s="57" t="inlineStr">
        <is>
          <t>Ola 1 - MVP: operar sin Excel</t>
        </is>
      </c>
      <c r="C51" s="57" t="inlineStr">
        <is>
          <t>F5</t>
        </is>
      </c>
      <c r="D51" s="57" t="inlineStr">
        <is>
          <t>Adquisicion de creadores</t>
        </is>
      </c>
      <c r="E51" s="58" t="inlineStr">
        <is>
          <t>5.11</t>
        </is>
      </c>
      <c r="F51" s="59" t="inlineStr">
        <is>
          <t>QA de fase + Phase Review Report</t>
        </is>
      </c>
      <c r="G51" s="60" t="inlineStr">
        <is>
          <t>Pendiente</t>
        </is>
      </c>
      <c r="H51" s="61">
        <f>IFERROR(INDEX(Config!$B$3:$B$8,MATCH($G51,Config!$A$3:$A$8,0)),0)</f>
        <v/>
      </c>
      <c r="I51" s="60">
        <f>IFERROR(INDEX(Config!$C$3:$C$8,MATCH($G51,Config!$A$3:$A$8,0)),0)</f>
        <v/>
      </c>
      <c r="J51" s="59" t="n"/>
    </row>
    <row r="52" ht="23.25" customHeight="1" s="36">
      <c r="A52" s="57" t="n">
        <v>51</v>
      </c>
      <c r="B52" s="57" t="inlineStr">
        <is>
          <t>Ola 1 - MVP: operar sin Excel</t>
        </is>
      </c>
      <c r="C52" s="57" t="inlineStr">
        <is>
          <t>F6</t>
        </is>
      </c>
      <c r="D52" s="57" t="inlineStr">
        <is>
          <t>Portal del creador</t>
        </is>
      </c>
      <c r="E52" s="58" t="inlineStr">
        <is>
          <t>6.1</t>
        </is>
      </c>
      <c r="F52" s="59" t="inlineStr">
        <is>
          <t>Shell del portal (PWA), navegacion movil, onboarding con barra de completitud</t>
        </is>
      </c>
      <c r="G52" s="60" t="inlineStr">
        <is>
          <t>Pendiente</t>
        </is>
      </c>
      <c r="H52" s="61">
        <f>IFERROR(INDEX(Config!$B$3:$B$8,MATCH($G52,Config!$A$3:$A$8,0)),0)</f>
        <v/>
      </c>
      <c r="I52" s="60">
        <f>IFERROR(INDEX(Config!$C$3:$C$8,MATCH($G52,Config!$A$3:$A$8,0)),0)</f>
        <v/>
      </c>
      <c r="J52" s="59" t="n"/>
    </row>
    <row r="53" ht="15" customHeight="1" s="36">
      <c r="A53" s="57" t="n">
        <v>52</v>
      </c>
      <c r="B53" s="57" t="inlineStr">
        <is>
          <t>Ola 1 - MVP: operar sin Excel</t>
        </is>
      </c>
      <c r="C53" s="57" t="inlineStr">
        <is>
          <t>F6</t>
        </is>
      </c>
      <c r="D53" s="57" t="inlineStr">
        <is>
          <t>Portal del creador</t>
        </is>
      </c>
      <c r="E53" s="58" t="inlineStr">
        <is>
          <t>6.2</t>
        </is>
      </c>
      <c r="F53" s="59" t="inlineStr">
        <is>
          <t>Mi perfil: personal, ubicacion, idiomas, preferencias</t>
        </is>
      </c>
      <c r="G53" s="60" t="inlineStr">
        <is>
          <t>Pendiente</t>
        </is>
      </c>
      <c r="H53" s="61">
        <f>IFERROR(INDEX(Config!$B$3:$B$8,MATCH($G53,Config!$A$3:$A$8,0)),0)</f>
        <v/>
      </c>
      <c r="I53" s="60">
        <f>IFERROR(INDEX(Config!$C$3:$C$8,MATCH($G53,Config!$A$3:$A$8,0)),0)</f>
        <v/>
      </c>
      <c r="J53" s="59" t="inlineStr">
        <is>
          <t>El modelo y la pantalla de ADMIN existen; el portal del creador no</t>
        </is>
      </c>
    </row>
    <row r="54" ht="15" customHeight="1" s="36">
      <c r="A54" s="57" t="n">
        <v>53</v>
      </c>
      <c r="B54" s="57" t="inlineStr">
        <is>
          <t>Ola 1 - MVP: operar sin Excel</t>
        </is>
      </c>
      <c r="C54" s="57" t="inlineStr">
        <is>
          <t>F6</t>
        </is>
      </c>
      <c r="D54" s="57" t="inlineStr">
        <is>
          <t>Portal del creador</t>
        </is>
      </c>
      <c r="E54" s="58" t="inlineStr">
        <is>
          <t>6.3</t>
        </is>
      </c>
      <c r="F54" s="59" t="inlineStr">
        <is>
          <t>Mis redes: alta, edicion, actualizacion de estadisticas, evidencia</t>
        </is>
      </c>
      <c r="G54" s="60" t="inlineStr">
        <is>
          <t>Pendiente</t>
        </is>
      </c>
      <c r="H54" s="61">
        <f>IFERROR(INDEX(Config!$B$3:$B$8,MATCH($G54,Config!$A$3:$A$8,0)),0)</f>
        <v/>
      </c>
      <c r="I54" s="60">
        <f>IFERROR(INDEX(Config!$C$3:$C$8,MATCH($G54,Config!$A$3:$A$8,0)),0)</f>
        <v/>
      </c>
      <c r="J54" s="59" t="inlineStr">
        <is>
          <t>Idem: construido del lado admin en 3.7</t>
        </is>
      </c>
    </row>
    <row r="55" ht="15" customHeight="1" s="36">
      <c r="A55" s="57" t="n">
        <v>54</v>
      </c>
      <c r="B55" s="57" t="inlineStr">
        <is>
          <t>Ola 1 - MVP: operar sin Excel</t>
        </is>
      </c>
      <c r="C55" s="57" t="inlineStr">
        <is>
          <t>F6</t>
        </is>
      </c>
      <c r="D55" s="57" t="inlineStr">
        <is>
          <t>Portal del creador</t>
        </is>
      </c>
      <c r="E55" s="58" t="inlineStr">
        <is>
          <t>6.4</t>
        </is>
      </c>
      <c r="F55" s="59" t="inlineStr">
        <is>
          <t>Perfil profesional: nichos, formatos, restricciones, portfolio</t>
        </is>
      </c>
      <c r="G55" s="60" t="inlineStr">
        <is>
          <t>Pendiente</t>
        </is>
      </c>
      <c r="H55" s="61">
        <f>IFERROR(INDEX(Config!$B$3:$B$8,MATCH($G55,Config!$A$3:$A$8,0)),0)</f>
        <v/>
      </c>
      <c r="I55" s="60">
        <f>IFERROR(INDEX(Config!$C$3:$C$8,MATCH($G55,Config!$A$3:$A$8,0)),0)</f>
        <v/>
      </c>
      <c r="J55" s="59" t="inlineStr">
        <is>
          <t>Idem: construido del lado admin en 3.9</t>
        </is>
      </c>
    </row>
    <row r="56" ht="15" customHeight="1" s="36">
      <c r="A56" s="57" t="n">
        <v>55</v>
      </c>
      <c r="B56" s="57" t="inlineStr">
        <is>
          <t>Ola 1 - MVP: operar sin Excel</t>
        </is>
      </c>
      <c r="C56" s="57" t="inlineStr">
        <is>
          <t>F6</t>
        </is>
      </c>
      <c r="D56" s="57" t="inlineStr">
        <is>
          <t>Portal del creador</t>
        </is>
      </c>
      <c r="E56" s="58" t="inlineStr">
        <is>
          <t>6.5</t>
        </is>
      </c>
      <c r="F56" s="59" t="inlineStr">
        <is>
          <t>Mis tarifas por formato/moneda/vigencia</t>
        </is>
      </c>
      <c r="G56" s="60" t="inlineStr">
        <is>
          <t>Pendiente</t>
        </is>
      </c>
      <c r="H56" s="61">
        <f>IFERROR(INDEX(Config!$B$3:$B$8,MATCH($G56,Config!$A$3:$A$8,0)),0)</f>
        <v/>
      </c>
      <c r="I56" s="60">
        <f>IFERROR(INDEX(Config!$C$3:$C$8,MATCH($G56,Config!$A$3:$A$8,0)),0)</f>
        <v/>
      </c>
      <c r="J56" s="59" t="inlineStr">
        <is>
          <t>Idem: construido del lado admin en 3.9, con periodos sin solape</t>
        </is>
      </c>
    </row>
    <row r="57" ht="23.25" customHeight="1" s="36">
      <c r="A57" s="57" t="n">
        <v>56</v>
      </c>
      <c r="B57" s="57" t="inlineStr">
        <is>
          <t>Ola 1 - MVP: operar sin Excel</t>
        </is>
      </c>
      <c r="C57" s="57" t="inlineStr">
        <is>
          <t>F6</t>
        </is>
      </c>
      <c r="D57" s="57" t="inlineStr">
        <is>
          <t>Portal del creador</t>
        </is>
      </c>
      <c r="E57" s="58" t="inlineStr">
        <is>
          <t>6.6</t>
        </is>
      </c>
      <c r="F57" s="59" t="inlineStr">
        <is>
          <t>Datos fiscales y medios de pago (cifrado, enmascarado, verificacion de cambios)</t>
        </is>
      </c>
      <c r="G57" s="60" t="inlineStr">
        <is>
          <t>Pendiente</t>
        </is>
      </c>
      <c r="H57" s="61">
        <f>IFERROR(INDEX(Config!$B$3:$B$8,MATCH($G57,Config!$A$3:$A$8,0)),0)</f>
        <v/>
      </c>
      <c r="I57" s="60">
        <f>IFERROR(INDEX(Config!$C$3:$C$8,MATCH($G57,Config!$A$3:$A$8,0)),0)</f>
        <v/>
      </c>
      <c r="J57" s="59" t="inlineStr">
        <is>
          <t>Idem: construido del lado admin en 3.6 y 3.8. Bloqueo parcial por DEC-005</t>
        </is>
      </c>
    </row>
    <row r="58" ht="23.25" customHeight="1" s="36">
      <c r="A58" s="57" t="n">
        <v>57</v>
      </c>
      <c r="B58" s="57" t="inlineStr">
        <is>
          <t>Ola 1 - MVP: operar sin Excel</t>
        </is>
      </c>
      <c r="C58" s="57" t="inlineStr">
        <is>
          <t>F6</t>
        </is>
      </c>
      <c r="D58" s="57" t="inlineStr">
        <is>
          <t>Portal del creador</t>
        </is>
      </c>
      <c r="E58" s="58" t="inlineStr">
        <is>
          <t>6.7</t>
        </is>
      </c>
      <c r="F58" s="59" t="inlineStr">
        <is>
          <t>Flujo de aprobacion de cambios sensibles</t>
        </is>
      </c>
      <c r="G58" s="60" t="inlineStr">
        <is>
          <t>En curso</t>
        </is>
      </c>
      <c r="H58" s="61">
        <f>IFERROR(INDEX(Config!$B$3:$B$8,MATCH($G58,Config!$A$3:$A$8,0)),0)</f>
        <v/>
      </c>
      <c r="I58" s="60">
        <f>IFERROR(INDEX(Config!$C$3:$C$8,MATCH($G58,Config!$A$3:$A$8,0)),0)</f>
        <v/>
      </c>
      <c r="J58" s="59" t="inlineStr">
        <is>
          <t>La segregacion de dos personas ya esta en la base (ck_ctp_segregation, ck_cpm_segregation). Falta el flujo del lado del creador</t>
        </is>
      </c>
    </row>
    <row r="59" ht="23.25" customHeight="1" s="36">
      <c r="A59" s="57" t="n">
        <v>58</v>
      </c>
      <c r="B59" s="57" t="inlineStr">
        <is>
          <t>Ola 1 - MVP: operar sin Excel</t>
        </is>
      </c>
      <c r="C59" s="57" t="inlineStr">
        <is>
          <t>F6</t>
        </is>
      </c>
      <c r="D59" s="57" t="inlineStr">
        <is>
          <t>Portal del creador</t>
        </is>
      </c>
      <c r="E59" s="58" t="inlineStr">
        <is>
          <t>6.8</t>
        </is>
      </c>
      <c r="F59" s="59" t="inlineStr">
        <is>
          <t>Dashboard del creador (max. 6 KPIs) + notificaciones + barra de completitud con XP basico</t>
        </is>
      </c>
      <c r="G59" s="60" t="inlineStr">
        <is>
          <t>Pendiente</t>
        </is>
      </c>
      <c r="H59" s="61">
        <f>IFERROR(INDEX(Config!$B$3:$B$8,MATCH($G59,Config!$A$3:$A$8,0)),0)</f>
        <v/>
      </c>
      <c r="I59" s="60">
        <f>IFERROR(INDEX(Config!$C$3:$C$8,MATCH($G59,Config!$A$3:$A$8,0)),0)</f>
        <v/>
      </c>
      <c r="J59" s="59" t="n"/>
    </row>
    <row r="60" ht="15" customHeight="1" s="36">
      <c r="A60" s="57" t="n">
        <v>59</v>
      </c>
      <c r="B60" s="57" t="inlineStr">
        <is>
          <t>Ola 1 - MVP: operar sin Excel</t>
        </is>
      </c>
      <c r="C60" s="57" t="inlineStr">
        <is>
          <t>F6</t>
        </is>
      </c>
      <c r="D60" s="57" t="inlineStr">
        <is>
          <t>Portal del creador</t>
        </is>
      </c>
      <c r="E60" s="58" t="inlineStr">
        <is>
          <t>6.9</t>
        </is>
      </c>
      <c r="F60" s="59" t="inlineStr">
        <is>
          <t>QA de fase + Phase Review Report</t>
        </is>
      </c>
      <c r="G60" s="60" t="inlineStr">
        <is>
          <t>Pendiente</t>
        </is>
      </c>
      <c r="H60" s="61">
        <f>IFERROR(INDEX(Config!$B$3:$B$8,MATCH($G60,Config!$A$3:$A$8,0)),0)</f>
        <v/>
      </c>
      <c r="I60" s="60">
        <f>IFERROR(INDEX(Config!$C$3:$C$8,MATCH($G60,Config!$A$3:$A$8,0)),0)</f>
        <v/>
      </c>
      <c r="J60" s="59" t="n"/>
    </row>
    <row r="61" ht="23.25" customHeight="1" s="36">
      <c r="A61" s="57" t="n">
        <v>60</v>
      </c>
      <c r="B61" s="57" t="inlineStr">
        <is>
          <t>Ola 1 - MVP: operar sin Excel</t>
        </is>
      </c>
      <c r="C61" s="57" t="inlineStr">
        <is>
          <t>F7</t>
        </is>
      </c>
      <c r="D61" s="57" t="inlineStr">
        <is>
          <t>Motor de campana</t>
        </is>
      </c>
      <c r="E61" s="58" t="inlineStr">
        <is>
          <t>7.0</t>
        </is>
      </c>
      <c r="F61" s="59" t="inlineStr">
        <is>
          <t>Clientes y marcas: alta manual, contactos, datos fiscales por pais, entidad legal segun cobertura</t>
        </is>
      </c>
      <c r="G61" s="60" t="inlineStr">
        <is>
          <t>Terminado</t>
        </is>
      </c>
      <c r="H61" s="61">
        <f>IFERROR(INDEX(Config!$B$3:$B$8,MATCH($G61,Config!$A$3:$A$8,0)),0)</f>
        <v/>
      </c>
      <c r="I61" s="60">
        <f>IFERROR(INDEX(Config!$C$3:$C$8,MATCH($G61,Config!$A$3:$A$8,0)),0)</f>
        <v/>
      </c>
      <c r="J61" s="59" t="inlineStr">
        <is>
          <t>docs/fase-4/4.1 a 4.5. Bloqueo con motivo si ningun pais coincide (BR-LE-004)</t>
        </is>
      </c>
    </row>
    <row r="62" ht="23.25" customHeight="1" s="36">
      <c r="A62" s="57" t="n">
        <v>61</v>
      </c>
      <c r="B62" s="57" t="inlineStr">
        <is>
          <t>Ola 1 - MVP: operar sin Excel</t>
        </is>
      </c>
      <c r="C62" s="57" t="inlineStr">
        <is>
          <t>F7</t>
        </is>
      </c>
      <c r="D62" s="57" t="inlineStr">
        <is>
          <t>Motor de campana</t>
        </is>
      </c>
      <c r="E62" s="58" t="inlineStr">
        <is>
          <t>7.1</t>
        </is>
      </c>
      <c r="F62" s="59" t="inlineStr">
        <is>
          <t>Entidad Campaign + estados + transiciones + auditoria + billing_legal_entity_id congelado</t>
        </is>
      </c>
      <c r="G62" s="60" t="inlineStr">
        <is>
          <t>Terminado</t>
        </is>
      </c>
      <c r="H62" s="61">
        <f>IFERROR(INDEX(Config!$B$3:$B$8,MATCH($G62,Config!$A$3:$A$8,0)),0)</f>
        <v/>
      </c>
      <c r="I62" s="60">
        <f>IFERROR(INDEX(Config!$C$3:$C$8,MATCH($G62,Config!$A$3:$A$8,0)),0)</f>
        <v/>
      </c>
      <c r="J62" s="59" t="inlineStr">
        <is>
          <t>docs/fase-7/7.1. DEC-089 a DEC-091</t>
        </is>
      </c>
    </row>
    <row r="63" ht="15" customHeight="1" s="36">
      <c r="A63" s="57" t="n">
        <v>62</v>
      </c>
      <c r="B63" s="57" t="inlineStr">
        <is>
          <t>Ola 1 - MVP: operar sin Excel</t>
        </is>
      </c>
      <c r="C63" s="57" t="inlineStr">
        <is>
          <t>F7</t>
        </is>
      </c>
      <c r="D63" s="57" t="inlineStr">
        <is>
          <t>Motor de campana</t>
        </is>
      </c>
      <c r="E63" s="58" t="inlineStr">
        <is>
          <t>7.2</t>
        </is>
      </c>
      <c r="F63" s="59" t="inlineStr">
        <is>
          <t>Brief: requisitos y formatos, veto de BR-CAMPAIGN-004, ingreso declarado</t>
        </is>
      </c>
      <c r="G63" s="60" t="inlineStr">
        <is>
          <t>Terminado</t>
        </is>
      </c>
      <c r="H63" s="61">
        <f>IFERROR(INDEX(Config!$B$3:$B$8,MATCH($G63,Config!$A$3:$A$8,0)),0)</f>
        <v/>
      </c>
      <c r="I63" s="60">
        <f>IFERROR(INDEX(Config!$C$3:$C$8,MATCH($G63,Config!$A$3:$A$8,0)),0)</f>
        <v/>
      </c>
      <c r="J63" s="59" t="inlineStr">
        <is>
          <t>docs/fase-7/7.2. DEC-092 a DEC-094. Hashtags, menciones y assets quedaron fuera a proposito</t>
        </is>
      </c>
    </row>
    <row r="64" ht="15" customHeight="1" s="36">
      <c r="A64" s="57" t="n">
        <v>63</v>
      </c>
      <c r="B64" s="57" t="inlineStr">
        <is>
          <t>Ola 1 - MVP: operar sin Excel</t>
        </is>
      </c>
      <c r="C64" s="57" t="inlineStr">
        <is>
          <t>F7</t>
        </is>
      </c>
      <c r="D64" s="57" t="inlineStr">
        <is>
          <t>Motor de campana</t>
        </is>
      </c>
      <c r="E64" s="58" t="inlineStr">
        <is>
          <t>7.3</t>
        </is>
      </c>
      <c r="F64" s="59" t="inlineStr">
        <is>
          <t>Mercados de campana (multipais) - modelo completo, UI minima</t>
        </is>
      </c>
      <c r="G64" s="60" t="inlineStr">
        <is>
          <t>Terminado</t>
        </is>
      </c>
      <c r="H64" s="61">
        <f>IFERROR(INDEX(Config!$B$3:$B$8,MATCH($G64,Config!$A$3:$A$8,0)),0)</f>
        <v/>
      </c>
      <c r="I64" s="60">
        <f>IFERROR(INDEX(Config!$C$3:$C$8,MATCH($G64,Config!$A$3:$A$8,0)),0)</f>
        <v/>
      </c>
      <c r="J64" s="59" t="inlineStr">
        <is>
          <t>docs/fase-7/7.3. DEC-095 a DEC-098. Cierra T-33</t>
        </is>
      </c>
    </row>
    <row r="65" ht="15" customHeight="1" s="36">
      <c r="A65" s="57" t="n">
        <v>64</v>
      </c>
      <c r="B65" s="57" t="inlineStr">
        <is>
          <t>Ola 1 - MVP: operar sin Excel</t>
        </is>
      </c>
      <c r="C65" s="57" t="inlineStr">
        <is>
          <t>F7</t>
        </is>
      </c>
      <c r="D65" s="57" t="inlineStr">
        <is>
          <t>Motor de campana</t>
        </is>
      </c>
      <c r="E65" s="58" t="inlineStr">
        <is>
          <t>7.4</t>
        </is>
      </c>
      <c r="F65" s="59" t="inlineStr">
        <is>
          <t>Buscador de creadores con filtros reales + shortlist</t>
        </is>
      </c>
      <c r="G65" s="60" t="inlineStr">
        <is>
          <t>Terminado</t>
        </is>
      </c>
      <c r="H65" s="61">
        <f>IFERROR(INDEX(Config!$B$3:$B$8,MATCH($G65,Config!$A$3:$A$8,0)),0)</f>
        <v/>
      </c>
      <c r="I65" s="60">
        <f>IFERROR(INDEX(Config!$C$3:$C$8,MATCH($G65,Config!$A$3:$A$8,0)),0)</f>
        <v/>
      </c>
      <c r="J65" s="59" t="inlineStr">
        <is>
          <t>docs/fase-7/7.4. DEC-099 a DEC-102. Media BR-CAMPAIGN-007 implementada; abre T-34</t>
        </is>
      </c>
    </row>
    <row r="66" ht="23.25" customHeight="1" s="36">
      <c r="A66" s="57" t="n">
        <v>65</v>
      </c>
      <c r="B66" s="57" t="inlineStr">
        <is>
          <t>Ola 1 - MVP: operar sin Excel</t>
        </is>
      </c>
      <c r="C66" s="57" t="inlineStr">
        <is>
          <t>F7</t>
        </is>
      </c>
      <c r="D66" s="57" t="inlineStr">
        <is>
          <t>Motor de campana</t>
        </is>
      </c>
      <c r="E66" s="58" t="inlineStr">
        <is>
          <t>7.5</t>
        </is>
      </c>
      <c r="F66" s="59" t="inlineStr">
        <is>
          <t>Seleccion, cupos por formato, costo comprometido por creador (congelado)</t>
        </is>
      </c>
      <c r="G66" s="60" t="inlineStr">
        <is>
          <t>Terminado</t>
        </is>
      </c>
      <c r="H66" s="61">
        <f>IFERROR(INDEX(Config!$B$3:$B$8,MATCH($G66,Config!$A$3:$A$8,0)),0)</f>
        <v/>
      </c>
      <c r="I66" s="60">
        <f>IFERROR(INDEX(Config!$C$3:$C$8,MATCH($G66,Config!$A$3:$A$8,0)),0)</f>
        <v/>
      </c>
      <c r="J66" s="59" t="inlineStr">
        <is>
          <t>docs/fase-7/7.5. DEC-103 a DEC-105. BR-CAMPAIGN-005 nombraba un dato que no existia. Cupos por mercado siguen siendo objetivo, no tope</t>
        </is>
      </c>
    </row>
    <row r="67" ht="23.25" customHeight="1" s="36">
      <c r="A67" s="57" t="n">
        <v>66</v>
      </c>
      <c r="B67" s="57" t="inlineStr">
        <is>
          <t>Ola 1 - MVP: operar sin Excel</t>
        </is>
      </c>
      <c r="C67" s="57" t="inlineStr">
        <is>
          <t>F7</t>
        </is>
      </c>
      <c r="D67" s="57" t="inlineStr">
        <is>
          <t>Motor de campana</t>
        </is>
      </c>
      <c r="E67" s="58" t="inlineStr">
        <is>
          <t>7.6</t>
        </is>
      </c>
      <c r="F67" s="59" t="inlineStr">
        <is>
          <t>Invitaciones: envio, expiracion, aceptacion, rechazo con motivo, preguntas</t>
        </is>
      </c>
      <c r="G67" s="60" t="inlineStr">
        <is>
          <t>Terminado</t>
        </is>
      </c>
      <c r="H67" s="61">
        <f>IFERROR(INDEX(Config!$B$3:$B$8,MATCH($G67,Config!$A$3:$A$8,0)),0)</f>
        <v/>
      </c>
      <c r="I67" s="60">
        <f>IFERROR(INDEX(Config!$C$3:$C$8,MATCH($G67,Config!$A$3:$A$8,0)),0)</f>
        <v/>
      </c>
      <c r="J67" s="59" t="inlineStr">
        <is>
          <t>docs/fase-7/7.6-INVITACIONES.md. DEC-119 a DEC-123. Enlace de un solo uso, plazo por campana, rechazo con motivo y reinvitacion con constancia. Las PREGUNTAS quedan fuera: T-38</t>
        </is>
      </c>
    </row>
    <row r="68" ht="23.25" customHeight="1" s="36">
      <c r="A68" s="57" t="n">
        <v>67</v>
      </c>
      <c r="B68" s="57" t="inlineStr">
        <is>
          <t>Ola 1 - MVP: operar sin Excel</t>
        </is>
      </c>
      <c r="C68" s="57" t="inlineStr">
        <is>
          <t>F7</t>
        </is>
      </c>
      <c r="D68" s="57" t="inlineStr">
        <is>
          <t>Motor de campana</t>
        </is>
      </c>
      <c r="E68" s="58" t="inlineStr">
        <is>
          <t>7.7</t>
        </is>
      </c>
      <c r="F68" s="59" t="inlineStr">
        <is>
          <t>Panel de seguimiento de la campana (quien va en que estado)</t>
        </is>
      </c>
      <c r="G68" s="60" t="inlineStr">
        <is>
          <t>Terminado</t>
        </is>
      </c>
      <c r="H68" s="61">
        <f>IFERROR(INDEX(Config!$B$3:$B$8,MATCH($G68,Config!$A$3:$A$8,0)),0)</f>
        <v/>
      </c>
      <c r="I68" s="60">
        <f>IFERROR(INDEX(Config!$C$3:$C$8,MATCH($G68,Config!$A$3:$A$8,0)),0)</f>
        <v/>
      </c>
      <c r="J68" s="59" t="inlineStr">
        <is>
          <t>docs/fase-7/7.7-SEGUIMIENTO.md. DEC-127 y DEC-128. Embudo, cupo por mercado (cubierto = aceptado, no invitado), dinero con el margen detras de su permiso, y cuatro alertas</t>
        </is>
      </c>
    </row>
    <row r="69" ht="23.25" customHeight="1" s="36">
      <c r="A69" s="57" t="n">
        <v>68</v>
      </c>
      <c r="B69" s="57" t="inlineStr">
        <is>
          <t>Ola 1 - MVP: operar sin Excel</t>
        </is>
      </c>
      <c r="C69" s="57" t="inlineStr">
        <is>
          <t>F7</t>
        </is>
      </c>
      <c r="D69" s="57" t="inlineStr">
        <is>
          <t>Motor de campana</t>
        </is>
      </c>
      <c r="E69" s="58" t="inlineStr">
        <is>
          <t>7.8</t>
        </is>
      </c>
      <c r="F69" s="59" t="inlineStr">
        <is>
          <t>Logistica de producto: direccion de envio, lista de despacho, tracking, confirmacion de recepcion</t>
        </is>
      </c>
      <c r="G69" s="60" t="inlineStr">
        <is>
          <t>Pendiente</t>
        </is>
      </c>
      <c r="H69" s="61">
        <f>IFERROR(INDEX(Config!$B$3:$B$8,MATCH($G69,Config!$A$3:$A$8,0)),0)</f>
        <v/>
      </c>
      <c r="I69" s="60">
        <f>IFERROR(INDEX(Config!$C$3:$C$8,MATCH($G69,Config!$A$3:$A$8,0)),0)</f>
        <v/>
      </c>
      <c r="J69" s="59" t="n"/>
    </row>
    <row r="70" ht="15" customHeight="1" s="36">
      <c r="A70" s="57" t="n">
        <v>69</v>
      </c>
      <c r="B70" s="57" t="inlineStr">
        <is>
          <t>Ola 1 - MVP: operar sin Excel</t>
        </is>
      </c>
      <c r="C70" s="57" t="inlineStr">
        <is>
          <t>F7</t>
        </is>
      </c>
      <c r="D70" s="57" t="inlineStr">
        <is>
          <t>Motor de campana</t>
        </is>
      </c>
      <c r="E70" s="58" t="inlineStr">
        <is>
          <t>7.9</t>
        </is>
      </c>
      <c r="F70" s="59" t="inlineStr">
        <is>
          <t>Campanas UGC vs distribucion</t>
        </is>
      </c>
      <c r="G70" s="60" t="inlineStr">
        <is>
          <t>Pendiente</t>
        </is>
      </c>
      <c r="H70" s="61">
        <f>IFERROR(INDEX(Config!$B$3:$B$8,MATCH($G70,Config!$A$3:$A$8,0)),0)</f>
        <v/>
      </c>
      <c r="I70" s="60">
        <f>IFERROR(INDEX(Config!$C$3:$C$8,MATCH($G70,Config!$A$3:$A$8,0)),0)</f>
        <v/>
      </c>
      <c r="J70" s="59" t="inlineStr">
        <is>
          <t>El objetivo ugc ya es un valor valido de la campana</t>
        </is>
      </c>
    </row>
    <row r="71" ht="23.25" customHeight="1" s="36">
      <c r="A71" s="57" t="n">
        <v>70</v>
      </c>
      <c r="B71" s="57" t="inlineStr">
        <is>
          <t>Ola 1 - MVP: operar sin Excel</t>
        </is>
      </c>
      <c r="C71" s="57" t="inlineStr">
        <is>
          <t>F7</t>
        </is>
      </c>
      <c r="D71" s="57" t="inlineStr">
        <is>
          <t>Motor de campana</t>
        </is>
      </c>
      <c r="E71" s="58" t="inlineStr">
        <is>
          <t>7.10</t>
        </is>
      </c>
      <c r="F71" s="59" t="inlineStr">
        <is>
          <t>Gestion de reemplazos: dropped/replaced, motivo, lista de espera, reasignacion de presupuesto</t>
        </is>
      </c>
      <c r="G71" s="60" t="inlineStr">
        <is>
          <t>Pendiente</t>
        </is>
      </c>
      <c r="H71" s="61">
        <f>IFERROR(INDEX(Config!$B$3:$B$8,MATCH($G71,Config!$A$3:$A$8,0)),0)</f>
        <v/>
      </c>
      <c r="I71" s="60">
        <f>IFERROR(INDEX(Config!$C$3:$C$8,MATCH($G71,Config!$A$3:$A$8,0)),0)</f>
        <v/>
      </c>
      <c r="J71" s="59" t="n"/>
    </row>
    <row r="72" ht="23.25" customHeight="1" s="36">
      <c r="A72" s="57" t="n">
        <v>71</v>
      </c>
      <c r="B72" s="57" t="inlineStr">
        <is>
          <t>Ola 1 - MVP: operar sin Excel</t>
        </is>
      </c>
      <c r="C72" s="57" t="inlineStr">
        <is>
          <t>F7</t>
        </is>
      </c>
      <c r="D72" s="57" t="inlineStr">
        <is>
          <t>Motor de campana</t>
        </is>
      </c>
      <c r="E72" s="58" t="inlineStr">
        <is>
          <t>7.11</t>
        </is>
      </c>
      <c r="F72" s="59" t="inlineStr">
        <is>
          <t>Deteccion de conflictos de marca y exclusividades vigentes</t>
        </is>
      </c>
      <c r="G72" s="60" t="inlineStr">
        <is>
          <t>En curso</t>
        </is>
      </c>
      <c r="H72" s="61">
        <f>IFERROR(INDEX(Config!$B$3:$B$8,MATCH($G72,Config!$A$3:$A$8,0)),0)</f>
        <v/>
      </c>
      <c r="I72" s="60">
        <f>IFERROR(INDEX(Config!$C$3:$C$8,MATCH($G72,Config!$A$3:$A$8,0)),0)</f>
        <v/>
      </c>
      <c r="J72" s="59" t="inlineStr">
        <is>
          <t>MEDIA hecha en 7.4: la categoria que el creador declaro que no trabaja ya excluye (DEC-100). Faltan competidores y exclusividades vigentes</t>
        </is>
      </c>
    </row>
    <row r="73" ht="15" customHeight="1" s="36">
      <c r="A73" s="57" t="n">
        <v>72</v>
      </c>
      <c r="B73" s="57" t="inlineStr">
        <is>
          <t>Ola 1 - MVP: operar sin Excel</t>
        </is>
      </c>
      <c r="C73" s="57" t="inlineStr">
        <is>
          <t>F7</t>
        </is>
      </c>
      <c r="D73" s="57" t="inlineStr">
        <is>
          <t>Motor de campana</t>
        </is>
      </c>
      <c r="E73" s="58" t="inlineStr">
        <is>
          <t>7.12</t>
        </is>
      </c>
      <c r="F73" s="59" t="inlineStr">
        <is>
          <t>Calendario de campana</t>
        </is>
      </c>
      <c r="G73" s="60" t="inlineStr">
        <is>
          <t>Pendiente</t>
        </is>
      </c>
      <c r="H73" s="61">
        <f>IFERROR(INDEX(Config!$B$3:$B$8,MATCH($G73,Config!$A$3:$A$8,0)),0)</f>
        <v/>
      </c>
      <c r="I73" s="60">
        <f>IFERROR(INDEX(Config!$C$3:$C$8,MATCH($G73,Config!$A$3:$A$8,0)),0)</f>
        <v/>
      </c>
      <c r="J73" s="59" t="n"/>
    </row>
    <row r="74" ht="15" customHeight="1" s="36">
      <c r="A74" s="57" t="n">
        <v>73</v>
      </c>
      <c r="B74" s="57" t="inlineStr">
        <is>
          <t>Ola 1 - MVP: operar sin Excel</t>
        </is>
      </c>
      <c r="C74" s="57" t="inlineStr">
        <is>
          <t>F7</t>
        </is>
      </c>
      <c r="D74" s="57" t="inlineStr">
        <is>
          <t>Motor de campana</t>
        </is>
      </c>
      <c r="E74" s="58" t="inlineStr">
        <is>
          <t>7.13</t>
        </is>
      </c>
      <c r="F74" s="59" t="inlineStr">
        <is>
          <t>QA de fase + Phase Review Report</t>
        </is>
      </c>
      <c r="G74" s="60" t="inlineStr">
        <is>
          <t>Pendiente</t>
        </is>
      </c>
      <c r="H74" s="61">
        <f>IFERROR(INDEX(Config!$B$3:$B$8,MATCH($G74,Config!$A$3:$A$8,0)),0)</f>
        <v/>
      </c>
      <c r="I74" s="60">
        <f>IFERROR(INDEX(Config!$C$3:$C$8,MATCH($G74,Config!$A$3:$A$8,0)),0)</f>
        <v/>
      </c>
      <c r="J74" s="59" t="n"/>
    </row>
    <row r="75" ht="45.75" customHeight="1" s="36">
      <c r="A75" s="57" t="n">
        <v>74</v>
      </c>
      <c r="B75" s="57" t="inlineStr">
        <is>
          <t>Ola 1 - MVP: operar sin Excel</t>
        </is>
      </c>
      <c r="C75" s="57" t="inlineStr">
        <is>
          <t>F8</t>
        </is>
      </c>
      <c r="D75" s="57" t="inlineStr">
        <is>
          <t>Contenido, revision y evidencia</t>
        </is>
      </c>
      <c r="E75" s="58" t="inlineStr">
        <is>
          <t>8.1</t>
        </is>
      </c>
      <c r="F75" s="59" t="inlineStr">
        <is>
          <t>Entregables: tipos, subida desde movil, enlaces, captions, hashtags</t>
        </is>
      </c>
      <c r="G75" s="60" t="inlineStr">
        <is>
          <t>Terminado</t>
        </is>
      </c>
      <c r="H75" s="61">
        <f>IFERROR(INDEX(Config!$B$3:$B$8,MATCH($G75,Config!$A$3:$A$8,0)),0)</f>
        <v/>
      </c>
      <c r="I75" s="60">
        <f>IFERROR(INDEX(Config!$C$3:$C$8,MATCH($G75,Config!$A$3:$A$8,0)),0)</f>
        <v/>
      </c>
      <c r="J75" s="59" t="inlineStr">
        <is>
          <t>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is>
      </c>
    </row>
    <row r="76" ht="57" customHeight="1" s="36">
      <c r="A76" s="57" t="n">
        <v>75</v>
      </c>
      <c r="B76" s="57" t="inlineStr">
        <is>
          <t>Ola 1 - MVP: operar sin Excel</t>
        </is>
      </c>
      <c r="C76" s="57" t="inlineStr">
        <is>
          <t>F8</t>
        </is>
      </c>
      <c r="D76" s="57" t="inlineStr">
        <is>
          <t>Contenido, revision y evidencia</t>
        </is>
      </c>
      <c r="E76" s="58" t="inlineStr">
        <is>
          <t>8.2</t>
        </is>
      </c>
      <c r="F76" s="59" t="inlineStr">
        <is>
          <t>Versionado append-only + puntero de version actual</t>
        </is>
      </c>
      <c r="G76" s="60" t="inlineStr">
        <is>
          <t>Terminado</t>
        </is>
      </c>
      <c r="H76" s="61">
        <f>IFERROR(INDEX(Config!$B$3:$B$8,MATCH($G76,Config!$A$3:$A$8,0)),0)</f>
        <v/>
      </c>
      <c r="I76" s="60">
        <f>IFERROR(INDEX(Config!$C$3:$C$8,MATCH($G76,Config!$A$3:$A$8,0)),0)</f>
        <v/>
      </c>
      <c r="J76" s="59" t="inlineStr">
        <is>
          <t>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is>
      </c>
    </row>
    <row r="77" ht="57" customHeight="1" s="36">
      <c r="A77" s="57" t="n">
        <v>76</v>
      </c>
      <c r="B77" s="57" t="inlineStr">
        <is>
          <t>Ola 1 - MVP: operar sin Excel</t>
        </is>
      </c>
      <c r="C77" s="57" t="inlineStr">
        <is>
          <t>F8</t>
        </is>
      </c>
      <c r="D77" s="57" t="inlineStr">
        <is>
          <t>Contenido, revision y evidencia</t>
        </is>
      </c>
      <c r="E77" s="58" t="inlineStr">
        <is>
          <t>8.3</t>
        </is>
      </c>
      <c r="F77" s="59" t="inlineStr">
        <is>
          <t>Cola de revision interna + comentarios por version + solicitud de correccion</t>
        </is>
      </c>
      <c r="G77" s="60" t="inlineStr">
        <is>
          <t>Terminado</t>
        </is>
      </c>
      <c r="H77" s="61">
        <f>IFERROR(INDEX(Config!$B$3:$B$8,MATCH($G77,Config!$A$3:$A$8,0)),0)</f>
        <v/>
      </c>
      <c r="I77" s="60">
        <f>IFERROR(INDEX(Config!$C$3:$C$8,MATCH($G77,Config!$A$3:$A$8,0)),0)</f>
        <v/>
      </c>
      <c r="J77" s="59" t="inlineStr">
        <is>
          <t>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is>
      </c>
    </row>
    <row r="78" ht="23.25" customHeight="1" s="36">
      <c r="A78" s="57" t="n">
        <v>77</v>
      </c>
      <c r="B78" s="57" t="inlineStr">
        <is>
          <t>Ola 1 - MVP: operar sin Excel</t>
        </is>
      </c>
      <c r="C78" s="57" t="inlineStr">
        <is>
          <t>F8</t>
        </is>
      </c>
      <c r="D78" s="57" t="inlineStr">
        <is>
          <t>Contenido, revision y evidencia</t>
        </is>
      </c>
      <c r="E78" s="58" t="inlineStr">
        <is>
          <t>8.4</t>
        </is>
      </c>
      <c r="F78" s="59" t="inlineStr">
        <is>
          <t>Aprobacion interna y limite de rondas</t>
        </is>
      </c>
      <c r="G78" s="60" t="inlineStr">
        <is>
          <t>Terminado</t>
        </is>
      </c>
      <c r="H78" s="61">
        <f>IFERROR(INDEX(Config!$B$3:$B$8,MATCH($G78,Config!$A$3:$A$8,0)),0)</f>
        <v/>
      </c>
      <c r="I78" s="60">
        <f>IFERROR(INDEX(Config!$C$3:$C$8,MATCH($G78,Config!$A$3:$A$8,0)),0)</f>
        <v/>
      </c>
      <c r="J78" s="59" t="inlineStr">
        <is>
          <t>docs/fase-8/8.4-TECHO-DE-RONDAS.md. El techo lo impone la BASE, no un if: solo la correccion del CLIENTE gasta ronda y una ronda de mas se declara.</t>
        </is>
      </c>
    </row>
    <row r="79" ht="23.25" customHeight="1" s="36">
      <c r="A79" s="57" t="n">
        <v>78</v>
      </c>
      <c r="B79" s="57" t="inlineStr">
        <is>
          <t>Ola 1 - MVP: operar sin Excel</t>
        </is>
      </c>
      <c r="C79" s="57" t="inlineStr">
        <is>
          <t>F8</t>
        </is>
      </c>
      <c r="D79" s="57" t="inlineStr">
        <is>
          <t>Contenido, revision y evidencia</t>
        </is>
      </c>
      <c r="E79" s="58" t="inlineStr">
        <is>
          <t>8.5</t>
        </is>
      </c>
      <c r="F79" s="59" t="inlineStr">
        <is>
          <t>Aprobacion del cliente por enlace firmado (sin portal completo)</t>
        </is>
      </c>
      <c r="G79" s="60" t="inlineStr">
        <is>
          <t>Terminado</t>
        </is>
      </c>
      <c r="H79" s="61">
        <f>IFERROR(INDEX(Config!$B$3:$B$8,MATCH($G79,Config!$A$3:$A$8,0)),0)</f>
        <v/>
      </c>
      <c r="I79" s="60">
        <f>IFERROR(INDEX(Config!$C$3:$C$8,MATCH($G79,Config!$A$3:$A$8,0)),0)</f>
        <v/>
      </c>
      <c r="J79" s="59" t="inlineStr">
        <is>
          <t>docs/fase-8/8.5-APROBACION-DEL-CLIENTE.md. Enlace de un solo uso, sin portal ni contrasena, y sin un solo importe. Queda su hora y su IP.</t>
        </is>
      </c>
    </row>
    <row r="80" ht="57" customHeight="1" s="36">
      <c r="A80" s="57" t="n">
        <v>79</v>
      </c>
      <c r="B80" s="57" t="inlineStr">
        <is>
          <t>Ola 1 - MVP: operar sin Excel</t>
        </is>
      </c>
      <c r="C80" s="57" t="inlineStr">
        <is>
          <t>F8</t>
        </is>
      </c>
      <c r="D80" s="57" t="inlineStr">
        <is>
          <t>Contenido, revision y evidencia</t>
        </is>
      </c>
      <c r="E80" s="58" t="inlineStr">
        <is>
          <t>8.6</t>
        </is>
      </c>
      <c r="F80" s="59" t="inlineStr">
        <is>
          <t>Programacion y registro de publicacion (URL)</t>
        </is>
      </c>
      <c r="G80" s="60" t="inlineStr">
        <is>
          <t>Terminado</t>
        </is>
      </c>
      <c r="H80" s="61">
        <f>IFERROR(INDEX(Config!$B$3:$B$8,MATCH($G80,Config!$A$3:$A$8,0)),0)</f>
        <v/>
      </c>
      <c r="I80" s="60">
        <f>IFERROR(INDEX(Config!$C$3:$C$8,MATCH($G80,Config!$A$3:$A$8,0)),0)</f>
        <v/>
      </c>
      <c r="J80" s="59" t="inlineStr">
        <is>
          <t>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is>
      </c>
    </row>
    <row r="81" ht="57" customHeight="1" s="36">
      <c r="A81" s="57" t="n">
        <v>80</v>
      </c>
      <c r="B81" s="57" t="inlineStr">
        <is>
          <t>Ola 1 - MVP: operar sin Excel</t>
        </is>
      </c>
      <c r="C81" s="57" t="inlineStr">
        <is>
          <t>F8</t>
        </is>
      </c>
      <c r="D81" s="57" t="inlineStr">
        <is>
          <t>Contenido, revision y evidencia</t>
        </is>
      </c>
      <c r="E81" s="58" t="inlineStr">
        <is>
          <t>8.7</t>
        </is>
      </c>
      <c r="F81" s="59" t="inlineStr">
        <is>
          <t>Verificacion de publicacion + archivado de evidencia</t>
        </is>
      </c>
      <c r="G81" s="60" t="inlineStr">
        <is>
          <t>Terminado</t>
        </is>
      </c>
      <c r="H81" s="61">
        <f>IFERROR(INDEX(Config!$B$3:$B$8,MATCH($G81,Config!$A$3:$A$8,0)),0)</f>
        <v/>
      </c>
      <c r="I81" s="60">
        <f>IFERROR(INDEX(Config!$C$3:$C$8,MATCH($G81,Config!$A$3:$A$8,0)),0)</f>
        <v/>
      </c>
      <c r="J81" s="59" t="inlineStr">
        <is>
          <t>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is>
      </c>
    </row>
    <row r="82" ht="23.25" customHeight="1" s="36">
      <c r="A82" s="57" t="n">
        <v>81</v>
      </c>
      <c r="B82" s="57" t="inlineStr">
        <is>
          <t>Ola 1 - MVP: operar sin Excel</t>
        </is>
      </c>
      <c r="C82" s="57" t="inlineStr">
        <is>
          <t>F8</t>
        </is>
      </c>
      <c r="D82" s="57" t="inlineStr">
        <is>
          <t>Contenido, revision y evidencia</t>
        </is>
      </c>
      <c r="E82" s="58" t="inlineStr">
        <is>
          <t>8.8</t>
        </is>
      </c>
      <c r="F82" s="59" t="inlineStr">
        <is>
          <t>Control de permanencia minima del post</t>
        </is>
      </c>
      <c r="G82" s="60" t="inlineStr">
        <is>
          <t>Terminado</t>
        </is>
      </c>
      <c r="H82" s="61">
        <f>IFERROR(INDEX(Config!$B$3:$B$8,MATCH($G82,Config!$A$3:$A$8,0)),0)</f>
        <v/>
      </c>
      <c r="I82" s="60">
        <f>IFERROR(INDEX(Config!$C$3:$C$8,MATCH($G82,Config!$A$3:$A$8,0)),0)</f>
        <v/>
      </c>
      <c r="J82" s="59" t="inlineStr">
        <is>
          <t>docs/fase-8/8.8-PERMANENCIA.md. Bandeja, historico que no se edita y comando diario a las 06:00. Si el post desaparece, el pago se para y el creador se entera.</t>
        </is>
      </c>
    </row>
    <row r="83" ht="15" customHeight="1" s="36">
      <c r="A83" s="57" t="n">
        <v>82</v>
      </c>
      <c r="B83" s="57" t="inlineStr">
        <is>
          <t>Ola 1 - MVP: operar sin Excel</t>
        </is>
      </c>
      <c r="C83" s="57" t="inlineStr">
        <is>
          <t>F8</t>
        </is>
      </c>
      <c r="D83" s="57" t="inlineStr">
        <is>
          <t>Contenido, revision y evidencia</t>
        </is>
      </c>
      <c r="E83" s="58" t="inlineStr">
        <is>
          <t>8.9</t>
        </is>
      </c>
      <c r="F83" s="59" t="inlineStr">
        <is>
          <t>Hilos de mensajes creador &lt;-&gt; equipo por campana</t>
        </is>
      </c>
      <c r="G83" s="60" t="inlineStr">
        <is>
          <t>Pendiente</t>
        </is>
      </c>
      <c r="H83" s="61">
        <f>IFERROR(INDEX(Config!$B$3:$B$8,MATCH($G83,Config!$A$3:$A$8,0)),0)</f>
        <v/>
      </c>
      <c r="I83" s="60">
        <f>IFERROR(INDEX(Config!$C$3:$C$8,MATCH($G83,Config!$A$3:$A$8,0)),0)</f>
        <v/>
      </c>
      <c r="J83" s="59" t="inlineStr">
        <is>
          <t>Sin empezar. Hoy la conversacion con el creador es el correo de 7.6b.</t>
        </is>
      </c>
    </row>
    <row r="84" ht="23.25" customHeight="1" s="36">
      <c r="A84" s="57" t="n">
        <v>83</v>
      </c>
      <c r="B84" s="57" t="inlineStr">
        <is>
          <t>Ola 1 - MVP: operar sin Excel</t>
        </is>
      </c>
      <c r="C84" s="57" t="inlineStr">
        <is>
          <t>F8</t>
        </is>
      </c>
      <c r="D84" s="57" t="inlineStr">
        <is>
          <t>Contenido, revision y evidencia</t>
        </is>
      </c>
      <c r="E84" s="58" t="inlineStr">
        <is>
          <t>8.10</t>
        </is>
      </c>
      <c r="F84" s="59" t="inlineStr">
        <is>
          <t>Derechos de uso: alcance, territorio, canales, exclusividad, vigencia</t>
        </is>
      </c>
      <c r="G84" s="60" t="inlineStr">
        <is>
          <t>Pendiente</t>
        </is>
      </c>
      <c r="H84" s="61">
        <f>IFERROR(INDEX(Config!$B$3:$B$8,MATCH($G84,Config!$A$3:$A$8,0)),0)</f>
        <v/>
      </c>
      <c r="I84" s="60">
        <f>IFERROR(INDEX(Config!$C$3:$C$8,MATCH($G84,Config!$A$3:$A$8,0)),0)</f>
        <v/>
      </c>
      <c r="J84" s="59" t="inlineStr">
        <is>
          <t>DESBLOQUEADA (2026-08-30). Los terminos ya existen y se editan desde el admin (9.16); los derechos de uso son la seccion 6 del texto base, marcada [REVISAR]. Lo que falta es MODELARLOS: licencia, territorio, plazo y exclusividad no son hoy datos de la campana, y el propio texto lo advierte.</t>
        </is>
      </c>
    </row>
    <row r="85" ht="23.25" customHeight="1" s="36">
      <c r="A85" s="57" t="n">
        <v>84</v>
      </c>
      <c r="B85" s="57" t="inlineStr">
        <is>
          <t>Ola 1 - MVP: operar sin Excel</t>
        </is>
      </c>
      <c r="C85" s="57" t="inlineStr">
        <is>
          <t>F8</t>
        </is>
      </c>
      <c r="D85" s="57" t="inlineStr">
        <is>
          <t>Contenido, revision y evidencia</t>
        </is>
      </c>
      <c r="E85" s="58" t="inlineStr">
        <is>
          <t>8.11</t>
        </is>
      </c>
      <c r="F85" s="59" t="inlineStr">
        <is>
          <t>QA de fase + Phase Review Report</t>
        </is>
      </c>
      <c r="G85" s="60" t="inlineStr">
        <is>
          <t>Terminado</t>
        </is>
      </c>
      <c r="H85" s="61">
        <f>IFERROR(INDEX(Config!$B$3:$B$8,MATCH($G85,Config!$A$3:$A$8,0)),0)</f>
        <v/>
      </c>
      <c r="I85" s="60">
        <f>IFERROR(INDEX(Config!$C$3:$C$8,MATCH($G85,Config!$A$3:$A$8,0)),0)</f>
        <v/>
      </c>
      <c r="J85" s="59" t="inlineStr">
        <is>
          <t>docs/fase-8/8.11-QA-DE-FASE.md. Septima puerta. Encontro nueve suites que se habrian puesto verdes con el motor apagado (T-55) y dos cosas mas que la fase daba por hechas.</t>
        </is>
      </c>
    </row>
    <row r="86" ht="23.25" customHeight="1" s="36">
      <c r="A86" s="57" t="n">
        <v>85</v>
      </c>
      <c r="B86" s="57" t="inlineStr">
        <is>
          <t>Ola 1 - MVP: operar sin Excel</t>
        </is>
      </c>
      <c r="C86" s="57" t="inlineStr">
        <is>
          <t>F8</t>
        </is>
      </c>
      <c r="D86" s="57" t="inlineStr">
        <is>
          <t>Contenido, revision y evidencia</t>
        </is>
      </c>
      <c r="E86" s="58" t="inlineStr">
        <is>
          <t>8.12</t>
        </is>
      </c>
      <c r="F86" s="59" t="inlineStr">
        <is>
          <t>La sociedad que factura, explicada en la ficha de campana</t>
        </is>
      </c>
      <c r="G86" s="60" t="inlineStr">
        <is>
          <t>Terminado</t>
        </is>
      </c>
      <c r="H86" s="61">
        <f>IFERROR(INDEX(Config!$B$3:$B$8,MATCH($G86,Config!$A$3:$A$8,0)),0)</f>
        <v/>
      </c>
      <c r="I86" s="60">
        <f>IFERROR(INDEX(Config!$C$3:$C$8,MATCH($G86,Config!$A$3:$A$8,0)),0)</f>
        <v/>
      </c>
      <c r="J86" s="59" t="inlineStr">
        <is>
          <t>FUERA DEL ALCANCE ORIGINAL. docs/fase-8/8.12-LA-SOCIEDAD-QUE-FACTURA.md. Salio T-58: la pantalla llevaba desde 7.1 imprimiendo la sociedad de HOY bajo el rotulo de la guardada.</t>
        </is>
      </c>
    </row>
    <row r="87" ht="23.25" customHeight="1" s="36">
      <c r="A87" s="57" t="n">
        <v>86</v>
      </c>
      <c r="B87" s="57" t="inlineStr">
        <is>
          <t>Ola 1 - MVP: operar sin Excel</t>
        </is>
      </c>
      <c r="C87" s="57" t="inlineStr">
        <is>
          <t>F8</t>
        </is>
      </c>
      <c r="D87" s="57" t="inlineStr">
        <is>
          <t>Contenido, revision y evidencia</t>
        </is>
      </c>
      <c r="E87" s="58" t="inlineStr">
        <is>
          <t>8.13</t>
        </is>
      </c>
      <c r="F87" s="59" t="inlineStr">
        <is>
          <t>Correccion del registro de decisiones y adelanto de 9.11</t>
        </is>
      </c>
      <c r="G87" s="60" t="inlineStr">
        <is>
          <t>Terminado</t>
        </is>
      </c>
      <c r="H87" s="61">
        <f>IFERROR(INDEX(Config!$B$3:$B$8,MATCH($G87,Config!$A$3:$A$8,0)),0)</f>
        <v/>
      </c>
      <c r="I87" s="60">
        <f>IFERROR(INDEX(Config!$C$3:$C$8,MATCH($G87,Config!$A$3:$A$8,0)),0)</f>
        <v/>
      </c>
      <c r="J87" s="59" t="inlineStr">
        <is>
          <t>FUERA DEL ALCANCE ORIGINAL. Solo documentos. T-59: una decision mia (DEC-156) afirmaba algo falso sobre el esquema. DEC-157 adelanto la validacion de 9.11 a 9.6.</t>
        </is>
      </c>
    </row>
    <row r="88" ht="23.25" customHeight="1" s="36">
      <c r="A88" s="57" t="n">
        <v>87</v>
      </c>
      <c r="B88" s="57" t="inlineStr">
        <is>
          <t>Ola 1 - MVP: operar sin Excel</t>
        </is>
      </c>
      <c r="C88" s="57" t="inlineStr">
        <is>
          <t>F9</t>
        </is>
      </c>
      <c r="D88" s="57" t="inlineStr">
        <is>
          <t>Finanzas</t>
        </is>
      </c>
      <c r="E88" s="58" t="inlineStr">
        <is>
          <t>9.1</t>
        </is>
      </c>
      <c r="F88" s="59" t="inlineStr">
        <is>
          <t>Monedas, tipo de cambio con historial y proveedor configurable</t>
        </is>
      </c>
      <c r="G88" s="60" t="inlineStr">
        <is>
          <t>Terminado</t>
        </is>
      </c>
      <c r="H88" s="61">
        <f>IFERROR(INDEX(Config!$B$3:$B$8,MATCH($G88,Config!$A$3:$A$8,0)),0)</f>
        <v/>
      </c>
      <c r="I88" s="60">
        <f>IFERROR(INDEX(Config!$C$3:$C$8,MATCH($G88,Config!$A$3:$A$8,0)),0)</f>
        <v/>
      </c>
      <c r="J88" s="59" t="inlineStr">
        <is>
          <t>CUBIERTA POR 9.1 Y 9.2 del roadmap actual. Fuente oficial por par con periodos, compra y venta, tasa inmutable, y cron a las 05:30 con Decolecta. Q-62/Q-63/Q-64 abiertas.</t>
        </is>
      </c>
    </row>
    <row r="89" ht="23.25" customHeight="1" s="36">
      <c r="A89" s="57" t="n">
        <v>88</v>
      </c>
      <c r="B89" s="57" t="inlineStr">
        <is>
          <t>Ola 1 - MVP: operar sin Excel</t>
        </is>
      </c>
      <c r="C89" s="57" t="inlineStr">
        <is>
          <t>F9</t>
        </is>
      </c>
      <c r="D89" s="57" t="inlineStr">
        <is>
          <t>Finanzas</t>
        </is>
      </c>
      <c r="E89" s="58" t="inlineStr">
        <is>
          <t>9.2</t>
        </is>
      </c>
      <c r="F89" s="59" t="inlineStr">
        <is>
          <t>Ledger append-only del creador + estados de asiento</t>
        </is>
      </c>
      <c r="G89" s="60" t="inlineStr">
        <is>
          <t>Terminado</t>
        </is>
      </c>
      <c r="H89" s="61">
        <f>IFERROR(INDEX(Config!$B$3:$B$8,MATCH($G89,Config!$A$3:$A$8,0)),0)</f>
        <v/>
      </c>
      <c r="I89" s="60">
        <f>IFERROR(INDEX(Config!$C$3:$C$8,MATCH($G89,Config!$A$3:$A$8,0)),0)</f>
        <v/>
      </c>
      <c r="J89" s="59" t="inlineStr">
        <is>
          <t>ES LA 9.3 del roadmap actual (la numeracion de F9 se reordeno al ejecutar). Grafo de estados, un devengo por participacion, barrido diario y motivo obligatorio.</t>
        </is>
      </c>
    </row>
    <row r="90" ht="23.25" customHeight="1" s="36">
      <c r="A90" s="57" t="n">
        <v>89</v>
      </c>
      <c r="B90" s="57" t="inlineStr">
        <is>
          <t>Ola 1 - MVP: operar sin Excel</t>
        </is>
      </c>
      <c r="C90" s="57" t="inlineStr">
        <is>
          <t>F9</t>
        </is>
      </c>
      <c r="D90" s="57" t="inlineStr">
        <is>
          <t>Finanzas</t>
        </is>
      </c>
      <c r="E90" s="58" t="inlineStr">
        <is>
          <t>9.3</t>
        </is>
      </c>
      <c r="F90" s="59" t="inlineStr">
        <is>
          <t>Devengo automatico por eventos de campana</t>
        </is>
      </c>
      <c r="G90" s="60" t="inlineStr">
        <is>
          <t>Terminado</t>
        </is>
      </c>
      <c r="H90" s="61">
        <f>IFERROR(INDEX(Config!$B$3:$B$8,MATCH($G90,Config!$A$3:$A$8,0)),0)</f>
        <v/>
      </c>
      <c r="I90" s="60">
        <f>IFERROR(INDEX(Config!$C$3:$C$8,MATCH($G90,Config!$A$3:$A$8,0)),0)</f>
        <v/>
      </c>
      <c r="J90" s="59" t="inlineStr">
        <is>
          <t>ES LA 9.4 del roadmap actual. Aceptar anota el asiento solo, por evento, y ledger:revisar rescata lo que se quedo sin asiento avisando de que hubo que rescatarlo.</t>
        </is>
      </c>
    </row>
    <row r="91" ht="23.25" customHeight="1" s="36">
      <c r="A91" s="57" t="n">
        <v>90</v>
      </c>
      <c r="B91" s="57" t="inlineStr">
        <is>
          <t>Ola 1 - MVP: operar sin Excel</t>
        </is>
      </c>
      <c r="C91" s="57" t="inlineStr">
        <is>
          <t>F9</t>
        </is>
      </c>
      <c r="D91" s="57" t="inlineStr">
        <is>
          <t>Finanzas</t>
        </is>
      </c>
      <c r="E91" s="58" t="inlineStr">
        <is>
          <t>9.4</t>
        </is>
      </c>
      <c r="F91" s="59" t="inlineStr">
        <is>
          <t>Aprobacion de ganancias, ajustes, bonos, retenciones</t>
        </is>
      </c>
      <c r="G91" s="60" t="inlineStr">
        <is>
          <t>Pendiente</t>
        </is>
      </c>
      <c r="H91" s="61">
        <f>IFERROR(INDEX(Config!$B$3:$B$8,MATCH($G91,Config!$A$3:$A$8,0)),0)</f>
        <v/>
      </c>
      <c r="I91" s="60">
        <f>IFERROR(INDEX(Config!$C$3:$C$8,MATCH($G91,Config!$A$3:$A$8,0)),0)</f>
        <v/>
      </c>
      <c r="J91" s="59" t="inlineStr">
        <is>
          <t>DESBLOQUEADA (2026-08-30). Q-40 respondida: 29,5% configurable. DEC-191 fija la forma: se pacta el NETO, el sistema calcula el bruto (neto/(1-tasa)) y lo compara con un umbral de rentabilidad. Tasa, umbral y base del umbral, desde el admin.</t>
        </is>
      </c>
    </row>
    <row r="92" ht="23.25" customHeight="1" s="36">
      <c r="A92" s="57" t="n">
        <v>91</v>
      </c>
      <c r="B92" s="57" t="inlineStr">
        <is>
          <t>Ola 1 - MVP: operar sin Excel</t>
        </is>
      </c>
      <c r="C92" s="57" t="inlineStr">
        <is>
          <t>F9</t>
        </is>
      </c>
      <c r="D92" s="57" t="inlineStr">
        <is>
          <t>Finanzas</t>
        </is>
      </c>
      <c r="E92" s="58" t="inlineStr">
        <is>
          <t>9.5</t>
        </is>
      </c>
      <c r="F92" s="59" t="inlineStr">
        <is>
          <t>Requisitos documentales por pais/regimen</t>
        </is>
      </c>
      <c r="G92" s="60" t="inlineStr">
        <is>
          <t>Pendiente</t>
        </is>
      </c>
      <c r="H92" s="61">
        <f>IFERROR(INDEX(Config!$B$3:$B$8,MATCH($G92,Config!$A$3:$A$8,0)),0)</f>
        <v/>
      </c>
      <c r="I92" s="60">
        <f>IFERROR(INDEX(Config!$C$3:$C$8,MATCH($G92,Config!$A$3:$A$8,0)),0)</f>
        <v/>
      </c>
      <c r="J92" s="59" t="inlineStr">
        <is>
          <t>DESBLOQUEADA (2026-08-30) por Q-40. Los requisitos documentales por pais dependen ahora de configuracion, no de una decision pendiente.</t>
        </is>
      </c>
    </row>
    <row r="93" ht="23.25" customHeight="1" s="36">
      <c r="A93" s="57" t="n">
        <v>92</v>
      </c>
      <c r="B93" s="57" t="inlineStr">
        <is>
          <t>Ola 1 - MVP: operar sin Excel</t>
        </is>
      </c>
      <c r="C93" s="57" t="inlineStr">
        <is>
          <t>F9</t>
        </is>
      </c>
      <c r="D93" s="57" t="inlineStr">
        <is>
          <t>Finanzas</t>
        </is>
      </c>
      <c r="E93" s="58" t="inlineStr">
        <is>
          <t>9.6</t>
        </is>
      </c>
      <c r="F93" s="59" t="inlineStr">
        <is>
          <t>Lotes de pago: generacion, aprobacion (doble control sobre umbral), exportacion bancaria</t>
        </is>
      </c>
      <c r="G93" s="60" t="inlineStr">
        <is>
          <t>Terminado</t>
        </is>
      </c>
      <c r="H93" s="61">
        <f>IFERROR(INDEX(Config!$B$3:$B$8,MATCH($G93,Config!$A$3:$A$8,0)),0)</f>
        <v/>
      </c>
      <c r="I93" s="60">
        <f>IFERROR(INDEX(Config!$C$3:$C$8,MATCH($G93,Config!$A$3:$A$8,0)),0)</f>
        <v/>
      </c>
      <c r="J93" s="59" t="inlineStr">
        <is>
          <t>docs/fase-9/9.6-LOTES-DE-PAGO.md. Dos firmas SIEMPRE y la base garantiza que paga la sociedad de la campana. El CSV no es el archivo del banco, y lo dice.</t>
        </is>
      </c>
    </row>
    <row r="94" ht="23.25" customHeight="1" s="36">
      <c r="A94" s="57" t="n">
        <v>93</v>
      </c>
      <c r="B94" s="57" t="inlineStr">
        <is>
          <t>Ola 1 - MVP: operar sin Excel</t>
        </is>
      </c>
      <c r="C94" s="57" t="inlineStr">
        <is>
          <t>F9</t>
        </is>
      </c>
      <c r="D94" s="57" t="inlineStr">
        <is>
          <t>Finanzas</t>
        </is>
      </c>
      <c r="E94" s="58" t="inlineStr">
        <is>
          <t>9.7</t>
        </is>
      </c>
      <c r="F94" s="59" t="inlineStr">
        <is>
          <t>Registro de pago, comprobante, notificacion al creador</t>
        </is>
      </c>
      <c r="G94" s="60" t="inlineStr">
        <is>
          <t>Terminado</t>
        </is>
      </c>
      <c r="H94" s="61">
        <f>IFERROR(INDEX(Config!$B$3:$B$8,MATCH($G94,Config!$A$3:$A$8,0)),0)</f>
        <v/>
      </c>
      <c r="I94" s="60">
        <f>IFERROR(INDEX(Config!$C$3:$C$8,MATCH($G94,Config!$A$3:$A$8,0)),0)</f>
        <v/>
      </c>
      <c r="J94" s="59" t="inlineStr">
        <is>
          <t>docs/fase-9/9.7-CONCILIACION.md. Grafo de estados del pago; confirmar exige referencia y fecha valor. Un pago devuelto no deshace el devengo: lo revierte.</t>
        </is>
      </c>
    </row>
    <row r="95" ht="23.25" customHeight="1" s="36">
      <c r="A95" s="57" t="n">
        <v>94</v>
      </c>
      <c r="B95" s="57" t="inlineStr">
        <is>
          <t>Ola 1 - MVP: operar sin Excel</t>
        </is>
      </c>
      <c r="C95" s="57" t="inlineStr">
        <is>
          <t>F9</t>
        </is>
      </c>
      <c r="D95" s="57" t="inlineStr">
        <is>
          <t>Finanzas</t>
        </is>
      </c>
      <c r="E95" s="58" t="inlineStr">
        <is>
          <t>9.8</t>
        </is>
      </c>
      <c r="F95" s="59" t="inlineStr">
        <is>
          <t>Vista Mis ingresos en el portal del creador</t>
        </is>
      </c>
      <c r="G95" s="60" t="inlineStr">
        <is>
          <t>Terminado</t>
        </is>
      </c>
      <c r="H95" s="61">
        <f>IFERROR(INDEX(Config!$B$3:$B$8,MATCH($G95,Config!$A$3:$A$8,0)),0)</f>
        <v/>
      </c>
      <c r="I95" s="60">
        <f>IFERROR(INDEX(Config!$C$3:$C$8,MATCH($G95,Config!$A$3:$A$8,0)),0)</f>
        <v/>
      </c>
      <c r="J95" s="59" t="inlineStr">
        <is>
          <t>docs/fase-9/9.8-MIS-INGRESOS.md. Saldo por moneda, sin un solo boton, y sin el motivo interno de una retencion.</t>
        </is>
      </c>
    </row>
    <row r="96" ht="15" customHeight="1" s="36">
      <c r="A96" s="57" t="n">
        <v>95</v>
      </c>
      <c r="B96" s="57" t="inlineStr">
        <is>
          <t>Ola 1 - MVP: operar sin Excel</t>
        </is>
      </c>
      <c r="C96" s="57" t="inlineStr">
        <is>
          <t>F9</t>
        </is>
      </c>
      <c r="D96" s="57" t="inlineStr">
        <is>
          <t>Finanzas</t>
        </is>
      </c>
      <c r="E96" s="58" t="inlineStr">
        <is>
          <t>9.9</t>
        </is>
      </c>
      <c r="F96" s="59" t="inlineStr">
        <is>
          <t>Facturacion al cliente emitida desde la entidad legal</t>
        </is>
      </c>
      <c r="G96" s="60" t="inlineStr">
        <is>
          <t>Pendiente</t>
        </is>
      </c>
      <c r="H96" s="61">
        <f>IFERROR(INDEX(Config!$B$3:$B$8,MATCH($G96,Config!$A$3:$A$8,0)),0)</f>
        <v/>
      </c>
      <c r="I96" s="60">
        <f>IFERROR(INDEX(Config!$C$3:$C$8,MATCH($G96,Config!$A$3:$A$8,0)),0)</f>
        <v/>
      </c>
      <c r="J96" s="59" t="inlineStr">
        <is>
          <t>DESBLOQUEADA (2026-08-30). Q-44: exportacion de servicios, sin IGV, configurable. Q-03/DEC-192: facturacion DIRECTA con SUNAT --sin proveedor-- con certificado, correlativos y plantillas desde el admin, y monitor de documentos timbrados con reintentos y descarga de CDR/XML/PDF.</t>
        </is>
      </c>
    </row>
    <row r="97" ht="23.25" customHeight="1" s="36">
      <c r="A97" s="57" t="n">
        <v>96</v>
      </c>
      <c r="B97" s="57" t="inlineStr">
        <is>
          <t>Ola 1 - MVP: operar sin Excel</t>
        </is>
      </c>
      <c r="C97" s="57" t="inlineStr">
        <is>
          <t>F9</t>
        </is>
      </c>
      <c r="D97" s="57" t="inlineStr">
        <is>
          <t>Finanzas</t>
        </is>
      </c>
      <c r="E97" s="58" t="inlineStr">
        <is>
          <t>9.10</t>
        </is>
      </c>
      <c r="F97" s="59" t="inlineStr">
        <is>
          <t>Rentabilidad por campana (P&amp;L interno) y por sociedad, con acceso estricto</t>
        </is>
      </c>
      <c r="G97" s="60" t="inlineStr">
        <is>
          <t>Terminado</t>
        </is>
      </c>
      <c r="H97" s="61">
        <f>IFERROR(INDEX(Config!$B$3:$B$8,MATCH($G97,Config!$A$3:$A$8,0)),0)</f>
        <v/>
      </c>
      <c r="I97" s="60">
        <f>IFERROR(INDEX(Config!$C$3:$C$8,MATCH($G97,Config!$A$3:$A$8,0)),0)</f>
        <v/>
      </c>
      <c r="J97" s="59" t="inlineStr">
        <is>
          <t>docs/fase-9/9.10-RENTABILIDAD.md. Ingreso menos creadores menos gasto, cada moneda por su lado. POR SOCIEDAD no: el ingreso de hoy es el declarado, no el facturado (9.9).</t>
        </is>
      </c>
    </row>
    <row r="98" ht="23.25" customHeight="1" s="36">
      <c r="A98" s="57" t="n">
        <v>97</v>
      </c>
      <c r="B98" s="57" t="inlineStr">
        <is>
          <t>Ola 1 - MVP: operar sin Excel</t>
        </is>
      </c>
      <c r="C98" s="57" t="inlineStr">
        <is>
          <t>F9</t>
        </is>
      </c>
      <c r="D98" s="57" t="inlineStr">
        <is>
          <t>Finanzas</t>
        </is>
      </c>
      <c r="E98" s="58" t="inlineStr">
        <is>
          <t>9.10a</t>
        </is>
      </c>
      <c r="F98" s="59" t="inlineStr">
        <is>
          <t>El gasto de una campana: capturar producto, envios, produccion</t>
        </is>
      </c>
      <c r="G98" s="60" t="inlineStr">
        <is>
          <t>Terminado</t>
        </is>
      </c>
      <c r="H98" s="61">
        <f>IFERROR(INDEX(Config!$B$3:$B$8,MATCH($G98,Config!$A$3:$A$8,0)),0)</f>
        <v/>
      </c>
      <c r="I98" s="60">
        <f>IFERROR(INDEX(Config!$C$3:$C$8,MATCH($G98,Config!$A$3:$A$8,0)),0)</f>
        <v/>
      </c>
      <c r="J98" s="59" t="inlineStr">
        <is>
          <t>FUERA DEL ALCANCE ORIGINAL, y sin ella 9.10 era un margen falso. campaign_costs llevaba desde la Fase 2 con CERO filas. Salio T-63 (el UPDATE estaba abierto) y T-64.</t>
        </is>
      </c>
    </row>
    <row r="99" ht="23.25" customHeight="1" s="36">
      <c r="A99" s="57" t="n">
        <v>98</v>
      </c>
      <c r="B99" s="57" t="inlineStr">
        <is>
          <t>Ola 1 - MVP: operar sin Excel</t>
        </is>
      </c>
      <c r="C99" s="57" t="inlineStr">
        <is>
          <t>F9</t>
        </is>
      </c>
      <c r="D99" s="57" t="inlineStr">
        <is>
          <t>Finanzas</t>
        </is>
      </c>
      <c r="E99" s="58" t="inlineStr">
        <is>
          <t>9.11</t>
        </is>
      </c>
      <c r="F99" s="59" t="inlineStr">
        <is>
          <t>Bloqueo de billing_legal_entity distinto de settlement_legal_entity en el MVP</t>
        </is>
      </c>
      <c r="G99" s="60" t="inlineStr">
        <is>
          <t>Terminado</t>
        </is>
      </c>
      <c r="H99" s="61">
        <f>IFERROR(INDEX(Config!$B$3:$B$8,MATCH($G99,Config!$A$3:$A$8,0)),0)</f>
        <v/>
      </c>
      <c r="I99" s="60">
        <f>IFERROR(INDEX(Config!$C$3:$C$8,MATCH($G99,Config!$A$3:$A$8,0)),0)</f>
        <v/>
      </c>
      <c r="J99" s="59" t="inlineStr">
        <is>
          <t>PAGADA EN 9.6. DEC-157 la adelanto: tg_pe_sociedad impone que la sociedad que paga sea la de la campana. Estaba en la posicion 11 de 14 y es una regla roja.</t>
        </is>
      </c>
    </row>
    <row r="100" ht="23.25" customHeight="1" s="36">
      <c r="A100" s="57" t="n">
        <v>99</v>
      </c>
      <c r="B100" s="57" t="inlineStr">
        <is>
          <t>Ola 1 - MVP: operar sin Excel</t>
        </is>
      </c>
      <c r="C100" s="57" t="inlineStr">
        <is>
          <t>F9</t>
        </is>
      </c>
      <c r="D100" s="57" t="inlineStr">
        <is>
          <t>Finanzas</t>
        </is>
      </c>
      <c r="E100" s="58" t="inlineStr">
        <is>
          <t>9.12</t>
        </is>
      </c>
      <c r="F100" s="59" t="inlineStr">
        <is>
          <t>Series y numeracion correlativa por entidad legal, con bloqueo y pruebas de concurrencia</t>
        </is>
      </c>
      <c r="G100" s="60" t="inlineStr">
        <is>
          <t>Terminado</t>
        </is>
      </c>
      <c r="H100" s="61">
        <f>IFERROR(INDEX(Config!$B$3:$B$8,MATCH($G100,Config!$A$3:$A$8,0)),0)</f>
        <v/>
      </c>
      <c r="I100" s="60">
        <f>IFERROR(INDEX(Config!$C$3:$C$8,MATCH($G100,Config!$A$3:$A$8,0)),0)</f>
        <v/>
      </c>
      <c r="J100" s="59" t="inlineStr">
        <is>
          <t>2026-08-31. Cierra BR-LE-007 (rojo) y DEC-021. document_series existia desde la Fase 2 y NUNCA la escribio nadie: forma correcta, ninguna mecanica. El numero se reserva bajo bloqueo de la fila de la serie y no con MAX()+1 (DEC-229), medido con dos conexiones de verdad y con su contraejemplo. Cada numero queda escrito con su estado: el hueco existe pero se explica (DEC-230). Los tipos de comprobante pasan a ser catalogo por pais (DEC-228); una serie por defecto por tipo y la forma la impone el pais (DEC-231); las series no se siembran y salen en rojo (DEC-232). 969 pruebas; 2164 aserciones SQL en MariaDB y 2154 en MySQL 8. La suite cazo dos reglas decorativas y destapo T-76. docs/fase-9/9.12-SERIES-Y-CORRELATIVOS.md</t>
        </is>
      </c>
    </row>
    <row r="101" ht="23.25" customHeight="1" s="36">
      <c r="A101" s="57" t="n">
        <v>100</v>
      </c>
      <c r="B101" s="57" t="inlineStr">
        <is>
          <t>Ola 1 - MVP: operar sin Excel</t>
        </is>
      </c>
      <c r="C101" s="57" t="inlineStr">
        <is>
          <t>F9</t>
        </is>
      </c>
      <c r="D101" s="57" t="inlineStr">
        <is>
          <t>Finanzas</t>
        </is>
      </c>
      <c r="E101" s="58" t="inlineStr">
        <is>
          <t>9.13</t>
        </is>
      </c>
      <c r="F101" s="59" t="inlineStr">
        <is>
          <t>Matriz de propositos obligatorios por pais + bloqueo de activacion sin cobertura</t>
        </is>
      </c>
      <c r="G101" s="60" t="inlineStr">
        <is>
          <t>Pendiente</t>
        </is>
      </c>
      <c r="H101" s="61">
        <f>IFERROR(INDEX(Config!$B$3:$B$8,MATCH($G101,Config!$A$3:$A$8,0)),0)</f>
        <v/>
      </c>
      <c r="I101" s="60">
        <f>IFERROR(INDEX(Config!$C$3:$C$8,MATCH($G101,Config!$A$3:$A$8,0)),0)</f>
        <v/>
      </c>
      <c r="J101" s="59" t="inlineStr">
        <is>
          <t>La matriz de propositos por pais pasa a ser CONFIGURACION (DEC-190), no una tabla quemada. Q-19 ya dio los valores de partida para Peru y Colombia.</t>
        </is>
      </c>
    </row>
    <row r="102" ht="34.5" customHeight="1" s="36">
      <c r="A102" s="57" t="n">
        <v>101</v>
      </c>
      <c r="B102" s="57" t="inlineStr">
        <is>
          <t>Ola 1 - MVP: operar sin Excel</t>
        </is>
      </c>
      <c r="C102" s="57" t="inlineStr">
        <is>
          <t>F9</t>
        </is>
      </c>
      <c r="D102" s="57" t="inlineStr">
        <is>
          <t>Finanzas</t>
        </is>
      </c>
      <c r="E102" s="58" t="inlineStr">
        <is>
          <t>9.14</t>
        </is>
      </c>
      <c r="F102" s="59" t="inlineStr">
        <is>
          <t>QA de fase + auditoria de seguridad especifica de finanzas</t>
        </is>
      </c>
      <c r="G102" s="60" t="inlineStr">
        <is>
          <t>Terminado</t>
        </is>
      </c>
      <c r="H102" s="61">
        <f>IFERROR(INDEX(Config!$B$3:$B$8,MATCH($G102,Config!$A$3:$A$8,0)),0)</f>
        <v/>
      </c>
      <c r="I102" s="60">
        <f>IFERROR(INDEX(Config!$C$3:$C$8,MATCH($G102,Config!$A$3:$A$8,0)),0)</f>
        <v/>
      </c>
      <c r="J102" s="59" t="inlineStr">
        <is>
          <t>docs/fase-9/9.14-QA-DE-FASE.md y 9.14b-AUDITORIA-DE-SEGURIDAD.md. De 317 reglas del esquema, 167 no habian contestado nunca; las 20 del dinero ya lo hacen. El muro: 145 rutas x 3 roles de fuera.</t>
        </is>
      </c>
    </row>
    <row r="103" ht="23.25" customHeight="1" s="36">
      <c r="A103" s="57" t="n">
        <v>102</v>
      </c>
      <c r="B103" s="57" t="inlineStr">
        <is>
          <t>Ola 1 - MVP: operar sin Excel</t>
        </is>
      </c>
      <c r="C103" s="57" t="inlineStr">
        <is>
          <t>F9</t>
        </is>
      </c>
      <c r="D103" s="57" t="inlineStr">
        <is>
          <t>Finanzas</t>
        </is>
      </c>
      <c r="E103" s="58" t="inlineStr">
        <is>
          <t>9.16</t>
        </is>
      </c>
      <c r="F103" s="59" t="inlineStr">
        <is>
          <t>Terminos editables desde el admin, con estado de revision legal</t>
        </is>
      </c>
      <c r="G103" s="60" t="inlineStr">
        <is>
          <t>Terminado</t>
        </is>
      </c>
      <c r="H103" s="61">
        <f>IFERROR(INDEX(Config!$B$3:$B$8,MATCH($G103,Config!$A$3:$A$8,0)),0)</f>
        <v/>
      </c>
      <c r="I103" s="60">
        <f>IFERROR(INDEX(Config!$C$3:$C$8,MATCH($G103,Config!$A$3:$A$8,0)),0)</f>
        <v/>
      </c>
      <c r="J103" s="59" t="inlineStr">
        <is>
          <t>FUERA DEL ALCANCE ORIGINAL, y corrige el criterio de 3.5. docs/fase-9/9.16-TERMINOS-EDITABLES.md. El sistema arranca con un texto base publicado que DICE que no esta revisado; borrador editable, publicada inmutable, y «cambio menor» que no obliga a reaceptar (DEC-190).</t>
        </is>
      </c>
    </row>
    <row r="104" ht="23.25" customHeight="1" s="36">
      <c r="A104" s="57" t="n">
        <v>103</v>
      </c>
      <c r="B104" s="57" t="inlineStr">
        <is>
          <t>Ola 1 - MVP: operar sin Excel</t>
        </is>
      </c>
      <c r="C104" s="57" t="inlineStr">
        <is>
          <t>F9</t>
        </is>
      </c>
      <c r="D104" s="57" t="inlineStr">
        <is>
          <t>Finanzas</t>
        </is>
      </c>
      <c r="E104" s="58" t="inlineStr">
        <is>
          <t>9.17</t>
        </is>
      </c>
      <c r="F104" s="59" t="inlineStr">
        <is>
          <t>La marca es un dato: nombre, lema, pie legal, logotipo, favicon, tres colores y tipografia configurables desde el admin</t>
        </is>
      </c>
      <c r="G104" s="60" t="inlineStr">
        <is>
          <t>Terminado</t>
        </is>
      </c>
      <c r="H104" s="61">
        <f>IFERROR(INDEX(Config!$B$3:$B$8,MATCH($G104,Config!$A$3:$A$8,0)),0)</f>
        <v/>
      </c>
      <c r="I104" s="60">
        <f>IFERROR(INDEX(Config!$C$3:$C$8,MATCH($G104,Config!$A$3:$A$8,0)),0)</f>
        <v/>
      </c>
      <c r="J104" s="59" t="inlineStr">
        <is>
          <t>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is>
      </c>
    </row>
    <row r="105" ht="15" customHeight="1" s="36">
      <c r="A105" s="57" t="inlineStr">
        <is>
          <t>103b</t>
        </is>
      </c>
      <c r="B105" s="57" t="inlineStr">
        <is>
          <t>Ola 1 - MVP: operar sin Excel</t>
        </is>
      </c>
      <c r="C105" s="57" t="inlineStr">
        <is>
          <t>F9</t>
        </is>
      </c>
      <c r="D105" s="57" t="inlineStr">
        <is>
          <t>Finanzas</t>
        </is>
      </c>
      <c r="E105" s="58" t="inlineStr">
        <is>
          <t>9.17b</t>
        </is>
      </c>
      <c r="F105" s="59" t="inlineStr">
        <is>
          <t>Que falta por configurar, en una sola pantalla: cinco areas con badges de prioridad</t>
        </is>
      </c>
      <c r="G105" s="60" t="inlineStr">
        <is>
          <t>Terminado</t>
        </is>
      </c>
      <c r="H105" s="61">
        <f>IFERROR(INDEX(Config!$B$3:$B$8,MATCH($G105,Config!$A$3:$A$8,0)),0)</f>
        <v/>
      </c>
      <c r="I105" s="60">
        <f>IFERROR(INDEX(Config!$C$3:$C$8,MATCH($G105,Config!$A$3:$A$8,0)),0)</f>
        <v/>
      </c>
      <c r="J105" s="59" t="inlineStr">
        <is>
          <t>2026-08-31. 9.16 y 9.17 dejaron cada una su lista de avisos y cada una solo se veia entrando en su pantalla; el correo escribiendose en un archivo en vez de enviarse no lo decia ninguna. Preparacion (Shared) las junta y cada modulo declara su area desde su ServiceProvider. Si no puedes arreglarlo, no lo ves (DEC-206). Una comprobacion que revienta no tumba el panel (DEC-207). DEC-205 a DEC-208. 12 pruebas, sin migracion. docs/fase-9/9.17b-PANEL-DE-CONFIGURACION.md</t>
        </is>
      </c>
    </row>
    <row r="106" ht="15" customHeight="1" s="36">
      <c r="A106" s="57" t="inlineStr">
        <is>
          <t>103c</t>
        </is>
      </c>
      <c r="B106" s="57" t="inlineStr">
        <is>
          <t>Ola 1 - MVP: operar sin Excel</t>
        </is>
      </c>
      <c r="C106" s="57" t="inlineStr">
        <is>
          <t>F9</t>
        </is>
      </c>
      <c r="D106" s="57" t="inlineStr">
        <is>
          <t>Finanzas</t>
        </is>
      </c>
      <c r="E106" s="58" t="inlineStr">
        <is>
          <t>9.17c</t>
        </is>
      </c>
      <c r="F106" s="59" t="inlineStr">
        <is>
          <t>El domicilio fiscal, con la forma (ubigeo, DANE) que exige cada pais</t>
        </is>
      </c>
      <c r="G106" s="60" t="inlineStr">
        <is>
          <t>Terminado</t>
        </is>
      </c>
      <c r="H106" s="61">
        <f>IFERROR(INDEX(Config!$B$3:$B$8,MATCH($G106,Config!$A$3:$A$8,0)),0)</f>
        <v/>
      </c>
      <c r="I106" s="60">
        <f>IFERROR(INDEX(Config!$C$3:$C$8,MATCH($G106,Config!$A$3:$A$8,0)),0)</f>
        <v/>
      </c>
      <c r="J106" s="59" t="inlineStr">
        <is>
          <t>2026-08-31. El comprobante peruano lleva el ubigeo y legal_entities no tenia ni el distrito ni el codigo. No se llama ubigeo: la forma la declara el PAIS y la imponen dos disparadores cruzados, asi que el formulario pide «Ubigeo» a una peruana y «Codigo DANE» a una colombiana sin una linea de codigo por pais (DEC-209). El establecimiento nace en 0000 (DEC-210); que falte no bloquea, sale en rojo en el panel (DEC-211). Salio un 1267 de colacion que habria reventado cada alta con codigo, invisible mientras el campo viniera nulo. 10 pruebas, 19 aserciones SQL en los dos motores. docs/fase-9/9.17c-DOMICILIO-FISCAL.md</t>
        </is>
      </c>
    </row>
    <row r="107" ht="15" customHeight="1" s="36">
      <c r="A107" s="57" t="inlineStr">
        <is>
          <t>103d</t>
        </is>
      </c>
      <c r="B107" s="57" t="inlineStr">
        <is>
          <t>Ola 1 - MVP: operar sin Excel</t>
        </is>
      </c>
      <c r="C107" s="57" t="inlineStr">
        <is>
          <t>F9</t>
        </is>
      </c>
      <c r="D107" s="57" t="inlineStr">
        <is>
          <t>Finanzas</t>
        </is>
      </c>
      <c r="E107" s="58" t="inlineStr">
        <is>
          <t>9.17d</t>
        </is>
      </c>
      <c r="F107" s="59" t="inlineStr">
        <is>
          <t>Las credenciales de cada API en un solo sitio</t>
        </is>
      </c>
      <c r="G107" s="60" t="inlineStr">
        <is>
          <t>Terminado</t>
        </is>
      </c>
      <c r="H107" s="61">
        <f>IFERROR(INDEX(Config!$B$3:$B$8,MATCH($G107,Config!$A$3:$A$8,0)),0)</f>
        <v/>
      </c>
      <c r="I107" s="60">
        <f>IFERROR(INDEX(Config!$C$3:$C$8,MATCH($G107,Config!$A$3:$A$8,0)),0)</f>
        <v/>
      </c>
      <c r="J107" s="59" t="inlineStr">
        <is>
          <t>2026-08-31. Prerrequisito de 9.9. Tres tablas propias --proveedores, conexiones, credenciales-- porque una sociedad es QUIEN factura y una conexion es CON QUE se conecta uno (DEC-223). Las asignaciones de docs/12 NO se construyen: resuelven un problema que hoy no existe, y esta escrito donde (DEC-224). Rotar versiona, no pisa (DEC-225); la bitacora anota QUE cambio, nunca el valor (DEC-226); una conexion activa exige https (DEC-227). 953 pruebas; 2096 aserciones SQL en MariaDB y 2086 en MySQL 8. Destapo T-75. docs/fase-9/9.17d-CREDENCIALES-DE-API.md</t>
        </is>
      </c>
    </row>
    <row r="108" ht="15" customHeight="1" s="36">
      <c r="A108" s="57" t="n">
        <v>104</v>
      </c>
      <c r="B108" s="57" t="inlineStr">
        <is>
          <t>Ola 1 - MVP: operar sin Excel</t>
        </is>
      </c>
      <c r="C108" s="57" t="inlineStr">
        <is>
          <t>F9</t>
        </is>
      </c>
      <c r="D108" s="57" t="inlineStr">
        <is>
          <t>Finanzas</t>
        </is>
      </c>
      <c r="E108" s="58" t="inlineStr">
        <is>
          <t>9.18</t>
        </is>
      </c>
      <c r="F108" s="59" t="inlineStr">
        <is>
          <t>Se pacta lo que el creador recibe: retencion sobre el neto y umbral de rentabilidad</t>
        </is>
      </c>
      <c r="G108" s="60" t="inlineStr">
        <is>
          <t>Terminado</t>
        </is>
      </c>
      <c r="H108" s="61">
        <f>IFERROR(INDEX(Config!$B$3:$B$8,MATCH($G108,Config!$A$3:$A$8,0)),0)</f>
        <v/>
      </c>
      <c r="I108" s="60">
        <f>IFERROR(INDEX(Config!$C$3:$C$8,MATCH($G108,Config!$A$3:$A$8,0)),0)</f>
        <v/>
      </c>
      <c r="J108" s="59" t="inlineStr">
        <is>
          <t>2026-08-31. Se teclea 100 y la campana provisiona 141,8440; el mensaje dice que para dejar el 20 % el ingreso tendria que llegar a 170,21. Las tres cifras del ejemplo de Q-40. La politica (retencion, umbral y sobre que se calcula) vive en pricing_policies con vigencia e historia. La pregunta «markup o margen» NO habia que hacerla: es una columna configurable con las dos cifras a la vista (DEC-213). DEC-212 a DEC-215. 14 pruebas, 25 aserciones SQL en los dos motores. docs/fase-9/9.18-POLITICA-Y-NETO-PACTADO.md</t>
        </is>
      </c>
    </row>
    <row r="109" ht="15" customHeight="1" s="36">
      <c r="A109" s="57" t="n">
        <v>105</v>
      </c>
      <c r="B109" s="57" t="inlineStr">
        <is>
          <t>Ola 1 - MVP: operar sin Excel</t>
        </is>
      </c>
      <c r="C109" s="57" t="inlineStr">
        <is>
          <t>F9</t>
        </is>
      </c>
      <c r="D109" s="57" t="inlineStr">
        <is>
          <t>Finanzas</t>
        </is>
      </c>
      <c r="E109" s="58" t="inlineStr">
        <is>
          <t>9.19</t>
        </is>
      </c>
      <c r="F109" s="59" t="inlineStr">
        <is>
          <t>Los terminos nuevos hay que volver a aceptarlos: plazo, solo lectura y muro</t>
        </is>
      </c>
      <c r="G109" s="60" t="inlineStr">
        <is>
          <t>Terminado</t>
        </is>
      </c>
      <c r="H109" s="61">
        <f>IFERROR(INDEX(Config!$B$3:$B$8,MATCH($G109,Config!$A$3:$A$8,0)),0)</f>
        <v/>
      </c>
      <c r="I109" s="60">
        <f>IFERROR(INDEX(Config!$C$3:$C$8,MATCH($G109,Config!$A$3:$A$8,0)),0)</f>
        <v/>
      </c>
      <c r="J109" s="59" t="inlineStr">
        <is>
          <t>2026-08-31. Los tres escalones de Q-46: dentro del plazo se pasa con una franja; pasado el plazo se mira y no se toca (filtrado por metodo HTTP, cubre toda pantalla que exista o se anada); pasada la ventana, solo la pantalla de aceptar. Los plazos van en la VERSION y son inmutables (DEC-216). El reloj empieza cuando le toca a cada uno (DEC-217). La pantalla del muro no lleva permiso: es la unica salida (DEC-218). Y arregla T-73, reportado en produccion. DEC-216 a DEC-219. 16 pruebas, 11 aserciones SQL. docs/fase-9/9.19-REACEPTACION-DE-TERMINOS.md</t>
        </is>
      </c>
    </row>
    <row r="110" ht="15" customHeight="1" s="36">
      <c r="A110" s="57" t="inlineStr">
        <is>
          <t>105b</t>
        </is>
      </c>
      <c r="B110" s="57" t="inlineStr">
        <is>
          <t>Ola 1 - MVP: operar sin Excel</t>
        </is>
      </c>
      <c r="C110" s="57" t="inlineStr">
        <is>
          <t>F9</t>
        </is>
      </c>
      <c r="D110" s="57" t="inlineStr">
        <is>
          <t>Finanzas</t>
        </is>
      </c>
      <c r="E110" s="58" t="inlineStr">
        <is>
          <t>9.19b</t>
        </is>
      </c>
      <c r="F110" s="59" t="inlineStr">
        <is>
          <t>El aviso por correo de la reaceptacion, y la frontera Core/Creator</t>
        </is>
      </c>
      <c r="G110" s="60" t="inlineStr">
        <is>
          <t>Terminado</t>
        </is>
      </c>
      <c r="H110" s="61">
        <f>IFERROR(INDEX(Config!$B$3:$B$8,MATCH($G110,Config!$A$3:$A$8,0)),0)</f>
        <v/>
      </c>
      <c r="I110" s="60">
        <f>IFERROR(INDEX(Config!$C$3:$C$8,MATCH($G110,Config!$A$3:$A$8,0)),0)</f>
        <v/>
      </c>
      <c r="J110" s="59" t="inlineStr">
        <is>
          <t>2026-08-31. Al publicar una version DE FONDO sale un correo a cada creador activo, y el texto dice que pasa despues. Core levanta un evento y Creator escucha, asi que un SMTP caido no tumba la publicacion (DEC-220). Cada envio en su propio try (DEC-222). Y corrige T-74, que era mio: Terminos leia creators desde Core, la frontera rota que deptrac no ve. Hay una prueba que lee el codigo fuente porque no hay herramienta que lo cace. DEC-220 a DEC-222. 20 pruebas. Sin migracion. docs/fase-9/9.19b-EL-AVISO-POR-CORREO.md</t>
        </is>
      </c>
    </row>
    <row r="111" ht="15" customHeight="1" s="36">
      <c r="A111" s="57" t="n">
        <v>106</v>
      </c>
      <c r="B111" s="57" t="inlineStr">
        <is>
          <t>Ola 1 - MVP: operar sin Excel</t>
        </is>
      </c>
      <c r="C111" s="57" t="inlineStr">
        <is>
          <t>F9</t>
        </is>
      </c>
      <c r="D111" s="57" t="inlineStr">
        <is>
          <t>Finanzas</t>
        </is>
      </c>
      <c r="E111" s="58" t="inlineStr">
        <is>
          <t>9.14b</t>
        </is>
      </c>
      <c r="F111" s="59" t="inlineStr">
        <is>
          <t>Auditoria de seguridad: el muro de rutas</t>
        </is>
      </c>
      <c r="G111" s="60" t="inlineStr">
        <is>
          <t>Terminado</t>
        </is>
      </c>
      <c r="H111" s="61">
        <f>IFERROR(INDEX(Config!$B$3:$B$8,MATCH($G111,Config!$A$3:$A$8,0)),0)</f>
        <v/>
      </c>
      <c r="I111" s="60">
        <f>IFERROR(INDEX(Config!$C$3:$C$8,MATCH($G111,Config!$A$3:$A$8,0)),0)</f>
        <v/>
      </c>
      <c r="J111" s="59" t="inlineStr">
        <is>
          <t>FUERA DEL ALCANCE ORIGINAL como iteracion propia. 145 rutas x 3 roles de fuera, 371 aserciones. Cerro dos rutas del framework sobre el disco privado. Salio T-67.</t>
        </is>
      </c>
    </row>
    <row r="112" ht="15" customHeight="1" s="36">
      <c r="A112" s="57" t="n">
        <v>107</v>
      </c>
      <c r="B112" s="57" t="inlineStr">
        <is>
          <t>Ola 1 - MVP: operar sin Excel</t>
        </is>
      </c>
      <c r="C112" s="57" t="inlineStr">
        <is>
          <t>F9</t>
        </is>
      </c>
      <c r="D112" s="57" t="inlineStr">
        <is>
          <t>Finanzas</t>
        </is>
      </c>
      <c r="E112" s="58" t="inlineStr">
        <is>
          <t>9.15</t>
        </is>
      </c>
      <c r="F112" s="59" t="inlineStr">
        <is>
          <t>Que los archivos se puedan ver: una puerta con permiso por archivo</t>
        </is>
      </c>
      <c r="G112" s="60" t="inlineStr">
        <is>
          <t>Terminado</t>
        </is>
      </c>
      <c r="H112" s="61">
        <f>IFERROR(INDEX(Config!$B$3:$B$8,MATCH($G112,Config!$A$3:$A$8,0)),0)</f>
        <v/>
      </c>
      <c r="I112" s="60">
        <f>IFERROR(INDEX(Config!$C$3:$C$8,MATCH($G112,Config!$A$3:$A$8,0)),0)</f>
        <v/>
      </c>
      <c r="J112" s="59" t="inlineStr">
        <is>
          <t>FUERA DEL ALCANCE ORIGINAL. docs/fase-9/9.15-VER-UN-ARCHIVO.md. Cierra T-67. Se guardaban desde la Fase 3 y no los servia nadie. Cada modulo declara quien puede ver SUS archivos (DEC-197) y el permiso se mira en cada peticion (DEC-198). Desbloquea 9.17: un logotipo guardado hay que poder servirlo.</t>
        </is>
      </c>
    </row>
    <row r="113" ht="15" customHeight="1" s="36">
      <c r="A113" s="57" t="n">
        <v>109</v>
      </c>
      <c r="B113" s="57" t="inlineStr">
        <is>
          <t>Ola 1 - MVP: operar sin Excel</t>
        </is>
      </c>
      <c r="C113" s="57" t="inlineStr">
        <is>
          <t>F10</t>
        </is>
      </c>
      <c r="D113" s="57" t="inlineStr">
        <is>
          <t>Medicion y reportes</t>
        </is>
      </c>
      <c r="E113" s="58" t="inlineStr">
        <is>
          <t>10.1</t>
        </is>
      </c>
      <c r="F113" s="59" t="inlineStr">
        <is>
          <t>Snapshots de metricas por publicacion con fuente y timestamp</t>
        </is>
      </c>
      <c r="G113" s="60" t="inlineStr">
        <is>
          <t>Pendiente</t>
        </is>
      </c>
      <c r="H113" s="61">
        <f>IFERROR(INDEX(Config!$B$3:$B$8,MATCH($G113,Config!$A$3:$A$8,0)),0)</f>
        <v/>
      </c>
      <c r="I113" s="60">
        <f>IFERROR(INDEX(Config!$C$3:$C$8,MATCH($G113,Config!$A$3:$A$8,0)),0)</f>
        <v/>
      </c>
      <c r="J113" s="59" t="inlineStr">
        <is>
          <t>El patron ya existe para redes sociales (social_account_snapshots)</t>
        </is>
      </c>
    </row>
    <row r="114" ht="15" customHeight="1" s="36">
      <c r="A114" s="57" t="n">
        <v>110</v>
      </c>
      <c r="B114" s="57" t="inlineStr">
        <is>
          <t>Ola 1 - MVP: operar sin Excel</t>
        </is>
      </c>
      <c r="C114" s="57" t="inlineStr">
        <is>
          <t>F10</t>
        </is>
      </c>
      <c r="D114" s="57" t="inlineStr">
        <is>
          <t>Medicion y reportes</t>
        </is>
      </c>
      <c r="E114" s="58" t="inlineStr">
        <is>
          <t>10.2</t>
        </is>
      </c>
      <c r="F114" s="59" t="inlineStr">
        <is>
          <t>Captura asistida (creador declara + sube captura; operador valida)</t>
        </is>
      </c>
      <c r="G114" s="60" t="inlineStr">
        <is>
          <t>Pendiente</t>
        </is>
      </c>
      <c r="H114" s="61">
        <f>IFERROR(INDEX(Config!$B$3:$B$8,MATCH($G114,Config!$A$3:$A$8,0)),0)</f>
        <v/>
      </c>
      <c r="I114" s="60">
        <f>IFERROR(INDEX(Config!$C$3:$C$8,MATCH($G114,Config!$A$3:$A$8,0)),0)</f>
        <v/>
      </c>
      <c r="J114" s="59" t="n"/>
    </row>
    <row r="115" ht="15" customHeight="1" s="36">
      <c r="A115" s="57" t="n">
        <v>111</v>
      </c>
      <c r="B115" s="57" t="inlineStr">
        <is>
          <t>Ola 1 - MVP: operar sin Excel</t>
        </is>
      </c>
      <c r="C115" s="57" t="inlineStr">
        <is>
          <t>F10</t>
        </is>
      </c>
      <c r="D115" s="57" t="inlineStr">
        <is>
          <t>Medicion y reportes</t>
        </is>
      </c>
      <c r="E115" s="58" t="inlineStr">
        <is>
          <t>10.3</t>
        </is>
      </c>
      <c r="F115" s="59" t="inlineStr">
        <is>
          <t>Consolidacion por creador / plataforma / campana</t>
        </is>
      </c>
      <c r="G115" s="60" t="inlineStr">
        <is>
          <t>Pendiente</t>
        </is>
      </c>
      <c r="H115" s="61">
        <f>IFERROR(INDEX(Config!$B$3:$B$8,MATCH($G115,Config!$A$3:$A$8,0)),0)</f>
        <v/>
      </c>
      <c r="I115" s="60">
        <f>IFERROR(INDEX(Config!$C$3:$C$8,MATCH($G115,Config!$A$3:$A$8,0)),0)</f>
        <v/>
      </c>
      <c r="J115" s="59" t="n"/>
    </row>
    <row r="116" ht="15" customHeight="1" s="36">
      <c r="A116" s="57" t="n">
        <v>112</v>
      </c>
      <c r="B116" s="57" t="inlineStr">
        <is>
          <t>Ola 1 - MVP: operar sin Excel</t>
        </is>
      </c>
      <c r="C116" s="57" t="inlineStr">
        <is>
          <t>F10</t>
        </is>
      </c>
      <c r="D116" s="57" t="inlineStr">
        <is>
          <t>Medicion y reportes</t>
        </is>
      </c>
      <c r="E116" s="58" t="inlineStr">
        <is>
          <t>10.4</t>
        </is>
      </c>
      <c r="F116" s="59" t="inlineStr">
        <is>
          <t>Reporte de campana reproducible (fecha de corte fija)</t>
        </is>
      </c>
      <c r="G116" s="60" t="inlineStr">
        <is>
          <t>Pendiente</t>
        </is>
      </c>
      <c r="H116" s="61">
        <f>IFERROR(INDEX(Config!$B$3:$B$8,MATCH($G116,Config!$A$3:$A$8,0)),0)</f>
        <v/>
      </c>
      <c r="I116" s="60">
        <f>IFERROR(INDEX(Config!$C$3:$C$8,MATCH($G116,Config!$A$3:$A$8,0)),0)</f>
        <v/>
      </c>
      <c r="J116" s="59" t="n"/>
    </row>
    <row r="117" ht="15" customHeight="1" s="36">
      <c r="A117" s="57" t="n">
        <v>113</v>
      </c>
      <c r="B117" s="57" t="inlineStr">
        <is>
          <t>Ola 1 - MVP: operar sin Excel</t>
        </is>
      </c>
      <c r="C117" s="57" t="inlineStr">
        <is>
          <t>F10</t>
        </is>
      </c>
      <c r="D117" s="57" t="inlineStr">
        <is>
          <t>Medicion y reportes</t>
        </is>
      </c>
      <c r="E117" s="58" t="inlineStr">
        <is>
          <t>10.5</t>
        </is>
      </c>
      <c r="F117" s="59" t="inlineStr">
        <is>
          <t>Entrega del reporte al cliente por enlace firmado + exportacion PDF</t>
        </is>
      </c>
      <c r="G117" s="60" t="inlineStr">
        <is>
          <t>Pendiente</t>
        </is>
      </c>
      <c r="H117" s="61">
        <f>IFERROR(INDEX(Config!$B$3:$B$8,MATCH($G117,Config!$A$3:$A$8,0)),0)</f>
        <v/>
      </c>
      <c r="I117" s="60">
        <f>IFERROR(INDEX(Config!$C$3:$C$8,MATCH($G117,Config!$A$3:$A$8,0)),0)</f>
        <v/>
      </c>
      <c r="J117" s="59" t="n"/>
    </row>
    <row r="118" ht="15" customHeight="1" s="36">
      <c r="A118" s="57" t="n">
        <v>114</v>
      </c>
      <c r="B118" s="57" t="inlineStr">
        <is>
          <t>Ola 1 - MVP: operar sin Excel</t>
        </is>
      </c>
      <c r="C118" s="57" t="inlineStr">
        <is>
          <t>F10</t>
        </is>
      </c>
      <c r="D118" s="57" t="inlineStr">
        <is>
          <t>Medicion y reportes</t>
        </is>
      </c>
      <c r="E118" s="58" t="inlineStr">
        <is>
          <t>10.6</t>
        </is>
      </c>
      <c r="F118" s="59" t="inlineStr">
        <is>
          <t>Dashboards por rol (Superadmin, Ops, Campaign Mgr, Finance, Creator)</t>
        </is>
      </c>
      <c r="G118" s="60" t="inlineStr">
        <is>
          <t>Pendiente</t>
        </is>
      </c>
      <c r="H118" s="61">
        <f>IFERROR(INDEX(Config!$B$3:$B$8,MATCH($G118,Config!$A$3:$A$8,0)),0)</f>
        <v/>
      </c>
      <c r="I118" s="60">
        <f>IFERROR(INDEX(Config!$C$3:$C$8,MATCH($G118,Config!$A$3:$A$8,0)),0)</f>
        <v/>
      </c>
      <c r="J118" s="59" t="n"/>
    </row>
    <row r="119" ht="15" customHeight="1" s="36">
      <c r="A119" s="57" t="n">
        <v>115</v>
      </c>
      <c r="B119" s="57" t="inlineStr">
        <is>
          <t>Ola 1 - MVP: operar sin Excel</t>
        </is>
      </c>
      <c r="C119" s="57" t="inlineStr">
        <is>
          <t>F10</t>
        </is>
      </c>
      <c r="D119" s="57" t="inlineStr">
        <is>
          <t>Medicion y reportes</t>
        </is>
      </c>
      <c r="E119" s="58" t="inlineStr">
        <is>
          <t>10.7</t>
        </is>
      </c>
      <c r="F119" s="59" t="inlineStr">
        <is>
          <t>Exportaciones CSV/XLSX como job en cola</t>
        </is>
      </c>
      <c r="G119" s="60" t="inlineStr">
        <is>
          <t>Pendiente</t>
        </is>
      </c>
      <c r="H119" s="61">
        <f>IFERROR(INDEX(Config!$B$3:$B$8,MATCH($G119,Config!$A$3:$A$8,0)),0)</f>
        <v/>
      </c>
      <c r="I119" s="60">
        <f>IFERROR(INDEX(Config!$C$3:$C$8,MATCH($G119,Config!$A$3:$A$8,0)),0)</f>
        <v/>
      </c>
      <c r="J119" s="59" t="inlineStr">
        <is>
          <t>Depende de 4.8</t>
        </is>
      </c>
    </row>
    <row r="120" ht="15" customHeight="1" s="36">
      <c r="A120" s="57" t="n">
        <v>116</v>
      </c>
      <c r="B120" s="57" t="inlineStr">
        <is>
          <t>Ola 1 - MVP: operar sin Excel</t>
        </is>
      </c>
      <c r="C120" s="57" t="inlineStr">
        <is>
          <t>F10</t>
        </is>
      </c>
      <c r="D120" s="57" t="inlineStr">
        <is>
          <t>Medicion y reportes</t>
        </is>
      </c>
      <c r="E120" s="58" t="inlineStr">
        <is>
          <t>10.8</t>
        </is>
      </c>
      <c r="F120" s="59" t="inlineStr">
        <is>
          <t>Indicador de carga y capacidad del equipo</t>
        </is>
      </c>
      <c r="G120" s="60" t="inlineStr">
        <is>
          <t>Pendiente</t>
        </is>
      </c>
      <c r="H120" s="61">
        <f>IFERROR(INDEX(Config!$B$3:$B$8,MATCH($G120,Config!$A$3:$A$8,0)),0)</f>
        <v/>
      </c>
      <c r="I120" s="60">
        <f>IFERROR(INDEX(Config!$C$3:$C$8,MATCH($G120,Config!$A$3:$A$8,0)),0)</f>
        <v/>
      </c>
      <c r="J120" s="59" t="n"/>
    </row>
    <row r="121" ht="15" customHeight="1" s="36">
      <c r="A121" s="57" t="n">
        <v>117</v>
      </c>
      <c r="B121" s="57" t="inlineStr">
        <is>
          <t>Ola 1 - MVP: operar sin Excel</t>
        </is>
      </c>
      <c r="C121" s="57" t="inlineStr">
        <is>
          <t>F10</t>
        </is>
      </c>
      <c r="D121" s="57" t="inlineStr">
        <is>
          <t>Medicion y reportes</t>
        </is>
      </c>
      <c r="E121" s="58" t="inlineStr">
        <is>
          <t>10.9</t>
        </is>
      </c>
      <c r="F121" s="59" t="inlineStr">
        <is>
          <t>QA de fase + Phase Review Report. HITO: fin del MVP</t>
        </is>
      </c>
      <c r="G121" s="60" t="inlineStr">
        <is>
          <t>Pendiente</t>
        </is>
      </c>
      <c r="H121" s="61">
        <f>IFERROR(INDEX(Config!$B$3:$B$8,MATCH($G121,Config!$A$3:$A$8,0)),0)</f>
        <v/>
      </c>
      <c r="I121" s="60">
        <f>IFERROR(INDEX(Config!$C$3:$C$8,MATCH($G121,Config!$A$3:$A$8,0)),0)</f>
        <v/>
      </c>
      <c r="J121" s="59" t="n"/>
    </row>
    <row r="122" ht="15" customHeight="1" s="36">
      <c r="A122" s="57" t="n">
        <v>118</v>
      </c>
      <c r="B122" s="57" t="inlineStr">
        <is>
          <t>Ola 2 - Escalar comercialmente</t>
        </is>
      </c>
      <c r="C122" s="57" t="inlineStr">
        <is>
          <t>F11</t>
        </is>
      </c>
      <c r="D122" s="57" t="inlineStr">
        <is>
          <t>Adquisicion de marcas y CRM</t>
        </is>
      </c>
      <c r="E122" s="58" t="inlineStr">
        <is>
          <t>11.1</t>
        </is>
      </c>
      <c r="F122" s="59" t="inlineStr">
        <is>
          <t>Landing B2B</t>
        </is>
      </c>
      <c r="G122" s="60" t="inlineStr">
        <is>
          <t>Pendiente</t>
        </is>
      </c>
      <c r="H122" s="61">
        <f>IFERROR(INDEX(Config!$B$3:$B$8,MATCH($G122,Config!$A$3:$A$8,0)),0)</f>
        <v/>
      </c>
      <c r="I122" s="60">
        <f>IFERROR(INDEX(Config!$C$3:$C$8,MATCH($G122,Config!$A$3:$A$8,0)),0)</f>
        <v/>
      </c>
      <c r="J122" s="59" t="n"/>
    </row>
    <row r="123" ht="23.25" customHeight="1" s="36">
      <c r="A123" s="57" t="n">
        <v>119</v>
      </c>
      <c r="B123" s="57" t="inlineStr">
        <is>
          <t>Ola 2 - Escalar comercialmente</t>
        </is>
      </c>
      <c r="C123" s="57" t="inlineStr">
        <is>
          <t>F11</t>
        </is>
      </c>
      <c r="D123" s="57" t="inlineStr">
        <is>
          <t>Adquisicion de marcas y CRM</t>
        </is>
      </c>
      <c r="E123" s="58" t="inlineStr">
        <is>
          <t>11.2</t>
        </is>
      </c>
      <c r="F123" s="59" t="inlineStr">
        <is>
          <t>Formulario de lead + UTM + consentimiento</t>
        </is>
      </c>
      <c r="G123" s="60" t="inlineStr">
        <is>
          <t>Pendiente</t>
        </is>
      </c>
      <c r="H123" s="61">
        <f>IFERROR(INDEX(Config!$B$3:$B$8,MATCH($G123,Config!$A$3:$A$8,0)),0)</f>
        <v/>
      </c>
      <c r="I123" s="60">
        <f>IFERROR(INDEX(Config!$C$3:$C$8,MATCH($G123,Config!$A$3:$A$8,0)),0)</f>
        <v/>
      </c>
      <c r="J123" s="59" t="n"/>
    </row>
    <row r="124" ht="15" customHeight="1" s="36">
      <c r="A124" s="57" t="n">
        <v>120</v>
      </c>
      <c r="B124" s="57" t="inlineStr">
        <is>
          <t>Ola 2 - Escalar comercialmente</t>
        </is>
      </c>
      <c r="C124" s="57" t="inlineStr">
        <is>
          <t>F11</t>
        </is>
      </c>
      <c r="D124" s="57" t="inlineStr">
        <is>
          <t>Adquisicion de marcas y CRM</t>
        </is>
      </c>
      <c r="E124" s="58" t="inlineStr">
        <is>
          <t>11.3</t>
        </is>
      </c>
      <c r="F124" s="59" t="inlineStr">
        <is>
          <t>Lead, asignacion y SLA</t>
        </is>
      </c>
      <c r="G124" s="60" t="inlineStr">
        <is>
          <t>Pendiente</t>
        </is>
      </c>
      <c r="H124" s="61">
        <f>IFERROR(INDEX(Config!$B$3:$B$8,MATCH($G124,Config!$A$3:$A$8,0)),0)</f>
        <v/>
      </c>
      <c r="I124" s="60">
        <f>IFERROR(INDEX(Config!$C$3:$C$8,MATCH($G124,Config!$A$3:$A$8,0)),0)</f>
        <v/>
      </c>
      <c r="J124" s="59" t="n"/>
    </row>
    <row r="125" ht="15" customHeight="1" s="36">
      <c r="A125" s="57" t="n">
        <v>121</v>
      </c>
      <c r="B125" s="57" t="inlineStr">
        <is>
          <t>Ola 2 - Escalar comercialmente</t>
        </is>
      </c>
      <c r="C125" s="57" t="inlineStr">
        <is>
          <t>F11</t>
        </is>
      </c>
      <c r="D125" s="57" t="inlineStr">
        <is>
          <t>Adquisicion de marcas y CRM</t>
        </is>
      </c>
      <c r="E125" s="58" t="inlineStr">
        <is>
          <t>11.4</t>
        </is>
      </c>
      <c r="F125" s="59" t="inlineStr">
        <is>
          <t>Pipeline Kanban configurable</t>
        </is>
      </c>
      <c r="G125" s="60" t="inlineStr">
        <is>
          <t>Pendiente</t>
        </is>
      </c>
      <c r="H125" s="61">
        <f>IFERROR(INDEX(Config!$B$3:$B$8,MATCH($G125,Config!$A$3:$A$8,0)),0)</f>
        <v/>
      </c>
      <c r="I125" s="60">
        <f>IFERROR(INDEX(Config!$C$3:$C$8,MATCH($G125,Config!$A$3:$A$8,0)),0)</f>
        <v/>
      </c>
      <c r="J125" s="59" t="n"/>
    </row>
    <row r="126" ht="15" customHeight="1" s="36">
      <c r="A126" s="57" t="n">
        <v>122</v>
      </c>
      <c r="B126" s="57" t="inlineStr">
        <is>
          <t>Ola 2 - Escalar comercialmente</t>
        </is>
      </c>
      <c r="C126" s="57" t="inlineStr">
        <is>
          <t>F11</t>
        </is>
      </c>
      <c r="D126" s="57" t="inlineStr">
        <is>
          <t>Adquisicion de marcas y CRM</t>
        </is>
      </c>
      <c r="E126" s="58" t="inlineStr">
        <is>
          <t>11.5</t>
        </is>
      </c>
      <c r="F126" s="59" t="inlineStr">
        <is>
          <t>Actividades, notas, tareas y recordatorios</t>
        </is>
      </c>
      <c r="G126" s="60" t="inlineStr">
        <is>
          <t>Pendiente</t>
        </is>
      </c>
      <c r="H126" s="61">
        <f>IFERROR(INDEX(Config!$B$3:$B$8,MATCH($G126,Config!$A$3:$A$8,0)),0)</f>
        <v/>
      </c>
      <c r="I126" s="60">
        <f>IFERROR(INDEX(Config!$C$3:$C$8,MATCH($G126,Config!$A$3:$A$8,0)),0)</f>
        <v/>
      </c>
      <c r="J126" s="59" t="n"/>
    </row>
    <row r="127" ht="15" customHeight="1" s="36">
      <c r="A127" s="57" t="n">
        <v>123</v>
      </c>
      <c r="B127" s="57" t="inlineStr">
        <is>
          <t>Ola 2 - Escalar comercialmente</t>
        </is>
      </c>
      <c r="C127" s="57" t="inlineStr">
        <is>
          <t>F11</t>
        </is>
      </c>
      <c r="D127" s="57" t="inlineStr">
        <is>
          <t>Adquisicion de marcas y CRM</t>
        </is>
      </c>
      <c r="E127" s="58" t="inlineStr">
        <is>
          <t>11.6</t>
        </is>
      </c>
      <c r="F127" s="59" t="inlineStr">
        <is>
          <t>Conversion Lead -&gt; Cliente con trazabilidad</t>
        </is>
      </c>
      <c r="G127" s="60" t="inlineStr">
        <is>
          <t>Pendiente</t>
        </is>
      </c>
      <c r="H127" s="61">
        <f>IFERROR(INDEX(Config!$B$3:$B$8,MATCH($G127,Config!$A$3:$A$8,0)),0)</f>
        <v/>
      </c>
      <c r="I127" s="60">
        <f>IFERROR(INDEX(Config!$C$3:$C$8,MATCH($G127,Config!$A$3:$A$8,0)),0)</f>
        <v/>
      </c>
      <c r="J127" s="59" t="n"/>
    </row>
    <row r="128" ht="15" customHeight="1" s="36">
      <c r="A128" s="57" t="n">
        <v>124</v>
      </c>
      <c r="B128" s="57" t="inlineStr">
        <is>
          <t>Ola 2 - Escalar comercialmente</t>
        </is>
      </c>
      <c r="C128" s="57" t="inlineStr">
        <is>
          <t>F11</t>
        </is>
      </c>
      <c r="D128" s="57" t="inlineStr">
        <is>
          <t>Adquisicion de marcas y CRM</t>
        </is>
      </c>
      <c r="E128" s="58" t="inlineStr">
        <is>
          <t>11.7</t>
        </is>
      </c>
      <c r="F128" s="59" t="inlineStr">
        <is>
          <t>Organizaciones cliente, marcas y contactos</t>
        </is>
      </c>
      <c r="G128" s="60" t="inlineStr">
        <is>
          <t>Terminado</t>
        </is>
      </c>
      <c r="H128" s="61">
        <f>IFERROR(INDEX(Config!$B$3:$B$8,MATCH($G128,Config!$A$3:$A$8,0)),0)</f>
        <v/>
      </c>
      <c r="I128" s="60">
        <f>IFERROR(INDEX(Config!$C$3:$C$8,MATCH($G128,Config!$A$3:$A$8,0)),0)</f>
        <v/>
      </c>
      <c r="J128" s="59" t="inlineStr">
        <is>
          <t>Ya construido en 7.0 / docs/fase-4</t>
        </is>
      </c>
    </row>
    <row r="129" ht="15" customHeight="1" s="36">
      <c r="A129" s="57" t="n">
        <v>125</v>
      </c>
      <c r="B129" s="57" t="inlineStr">
        <is>
          <t>Ola 2 - Escalar comercialmente</t>
        </is>
      </c>
      <c r="C129" s="57" t="inlineStr">
        <is>
          <t>F11</t>
        </is>
      </c>
      <c r="D129" s="57" t="inlineStr">
        <is>
          <t>Adquisicion de marcas y CRM</t>
        </is>
      </c>
      <c r="E129" s="58" t="inlineStr">
        <is>
          <t>11.8</t>
        </is>
      </c>
      <c r="F129" s="59" t="inlineStr">
        <is>
          <t>Tags y segmentacion</t>
        </is>
      </c>
      <c r="G129" s="60" t="inlineStr">
        <is>
          <t>Pendiente</t>
        </is>
      </c>
      <c r="H129" s="61">
        <f>IFERROR(INDEX(Config!$B$3:$B$8,MATCH($G129,Config!$A$3:$A$8,0)),0)</f>
        <v/>
      </c>
      <c r="I129" s="60">
        <f>IFERROR(INDEX(Config!$C$3:$C$8,MATCH($G129,Config!$A$3:$A$8,0)),0)</f>
        <v/>
      </c>
      <c r="J129" s="59" t="n"/>
    </row>
    <row r="130" ht="15" customHeight="1" s="36">
      <c r="A130" s="57" t="n">
        <v>126</v>
      </c>
      <c r="B130" s="57" t="inlineStr">
        <is>
          <t>Ola 2 - Escalar comercialmente</t>
        </is>
      </c>
      <c r="C130" s="57" t="inlineStr">
        <is>
          <t>F11</t>
        </is>
      </c>
      <c r="D130" s="57" t="inlineStr">
        <is>
          <t>Adquisicion de marcas y CRM</t>
        </is>
      </c>
      <c r="E130" s="58" t="inlineStr">
        <is>
          <t>11.9</t>
        </is>
      </c>
      <c r="F130" s="59" t="inlineStr">
        <is>
          <t>QA de fase</t>
        </is>
      </c>
      <c r="G130" s="60" t="inlineStr">
        <is>
          <t>Pendiente</t>
        </is>
      </c>
      <c r="H130" s="61">
        <f>IFERROR(INDEX(Config!$B$3:$B$8,MATCH($G130,Config!$A$3:$A$8,0)),0)</f>
        <v/>
      </c>
      <c r="I130" s="60">
        <f>IFERROR(INDEX(Config!$C$3:$C$8,MATCH($G130,Config!$A$3:$A$8,0)),0)</f>
        <v/>
      </c>
      <c r="J130" s="59" t="n"/>
    </row>
    <row r="131" ht="15" customHeight="1" s="36">
      <c r="A131" s="57" t="n">
        <v>127</v>
      </c>
      <c r="B131" s="57" t="inlineStr">
        <is>
          <t>Ola 2 - Escalar comercialmente</t>
        </is>
      </c>
      <c r="C131" s="57" t="inlineStr">
        <is>
          <t>F12</t>
        </is>
      </c>
      <c r="D131" s="57" t="inlineStr">
        <is>
          <t>Integraciones</t>
        </is>
      </c>
      <c r="E131" s="58" t="inlineStr">
        <is>
          <t>12.1</t>
        </is>
      </c>
      <c r="F131" s="59" t="inlineStr">
        <is>
          <t>SMTP dedicado y entregabilidad (SPF/DKIM/DMARC), remitente por entidad legal</t>
        </is>
      </c>
      <c r="G131" s="60" t="inlineStr">
        <is>
          <t>Pendiente</t>
        </is>
      </c>
      <c r="H131" s="61">
        <f>IFERROR(INDEX(Config!$B$3:$B$8,MATCH($G131,Config!$A$3:$A$8,0)),0)</f>
        <v/>
      </c>
      <c r="I131" s="60">
        <f>IFERROR(INDEX(Config!$C$3:$C$8,MATCH($G131,Config!$A$3:$A$8,0)),0)</f>
        <v/>
      </c>
      <c r="J131" s="59" t="inlineStr">
        <is>
          <t>Depende de 4.6b y 4.9</t>
        </is>
      </c>
    </row>
    <row r="132" ht="15" customHeight="1" s="36">
      <c r="A132" s="57" t="n">
        <v>128</v>
      </c>
      <c r="B132" s="57" t="inlineStr">
        <is>
          <t>Ola 2 - Escalar comercialmente</t>
        </is>
      </c>
      <c r="C132" s="57" t="inlineStr">
        <is>
          <t>F12</t>
        </is>
      </c>
      <c r="D132" s="57" t="inlineStr">
        <is>
          <t>Integraciones</t>
        </is>
      </c>
      <c r="E132" s="58" t="inlineStr">
        <is>
          <t>12.2</t>
        </is>
      </c>
      <c r="F132" s="59" t="inlineStr">
        <is>
          <t>Adaptador de facturacion electronica + primer PSE peruano</t>
        </is>
      </c>
      <c r="G132" s="60" t="inlineStr">
        <is>
          <t>Pendiente</t>
        </is>
      </c>
      <c r="H132" s="61">
        <f>IFERROR(INDEX(Config!$B$3:$B$8,MATCH($G132,Config!$A$3:$A$8,0)),0)</f>
        <v/>
      </c>
      <c r="I132" s="60">
        <f>IFERROR(INDEX(Config!$C$3:$C$8,MATCH($G132,Config!$A$3:$A$8,0)),0)</f>
        <v/>
      </c>
      <c r="J132" s="59" t="inlineStr">
        <is>
          <t>Depende de 4.6b y de Q-34</t>
        </is>
      </c>
    </row>
    <row r="133" ht="15" customHeight="1" s="36">
      <c r="A133" s="57" t="n">
        <v>129</v>
      </c>
      <c r="B133" s="57" t="inlineStr">
        <is>
          <t>Ola 2 - Escalar comercialmente</t>
        </is>
      </c>
      <c r="C133" s="57" t="inlineStr">
        <is>
          <t>F12</t>
        </is>
      </c>
      <c r="D133" s="57" t="inlineStr">
        <is>
          <t>Integraciones</t>
        </is>
      </c>
      <c r="E133" s="58" t="inlineStr">
        <is>
          <t>12.3</t>
        </is>
      </c>
      <c r="F133" s="59" t="inlineStr">
        <is>
          <t>Notas de credito/debito</t>
        </is>
      </c>
      <c r="G133" s="60" t="inlineStr">
        <is>
          <t>Pendiente</t>
        </is>
      </c>
      <c r="H133" s="61">
        <f>IFERROR(INDEX(Config!$B$3:$B$8,MATCH($G133,Config!$A$3:$A$8,0)),0)</f>
        <v/>
      </c>
      <c r="I133" s="60">
        <f>IFERROR(INDEX(Config!$C$3:$C$8,MATCH($G133,Config!$A$3:$A$8,0)),0)</f>
        <v/>
      </c>
      <c r="J133" s="59" t="n"/>
    </row>
    <row r="134" ht="15" customHeight="1" s="36">
      <c r="A134" s="57" t="n">
        <v>130</v>
      </c>
      <c r="B134" s="57" t="inlineStr">
        <is>
          <t>Ola 2 - Escalar comercialmente</t>
        </is>
      </c>
      <c r="C134" s="57" t="inlineStr">
        <is>
          <t>F12</t>
        </is>
      </c>
      <c r="D134" s="57" t="inlineStr">
        <is>
          <t>Integraciones</t>
        </is>
      </c>
      <c r="E134" s="58" t="inlineStr">
        <is>
          <t>12.4</t>
        </is>
      </c>
      <c r="F134" s="59" t="inlineStr">
        <is>
          <t>Adaptador de tipo de cambio SUNAT con override auditado</t>
        </is>
      </c>
      <c r="G134" s="60" t="inlineStr">
        <is>
          <t>Pendiente</t>
        </is>
      </c>
      <c r="H134" s="61">
        <f>IFERROR(INDEX(Config!$B$3:$B$8,MATCH($G134,Config!$A$3:$A$8,0)),0)</f>
        <v/>
      </c>
      <c r="I134" s="60">
        <f>IFERROR(INDEX(Config!$C$3:$C$8,MATCH($G134,Config!$A$3:$A$8,0)),0)</f>
        <v/>
      </c>
      <c r="J134" s="59" t="n"/>
    </row>
    <row r="135" ht="15" customHeight="1" s="36">
      <c r="A135" s="57" t="n">
        <v>131</v>
      </c>
      <c r="B135" s="57" t="inlineStr">
        <is>
          <t>Ola 2 - Escalar comercialmente</t>
        </is>
      </c>
      <c r="C135" s="57" t="inlineStr">
        <is>
          <t>F12</t>
        </is>
      </c>
      <c r="D135" s="57" t="inlineStr">
        <is>
          <t>Integraciones</t>
        </is>
      </c>
      <c r="E135" s="58" t="inlineStr">
        <is>
          <t>12.5</t>
        </is>
      </c>
      <c r="F135" s="59" t="inlineStr">
        <is>
          <t>Infraestructura de webhooks: firma, idempotencia, reintentos, reproceso</t>
        </is>
      </c>
      <c r="G135" s="60" t="inlineStr">
        <is>
          <t>Pendiente</t>
        </is>
      </c>
      <c r="H135" s="61">
        <f>IFERROR(INDEX(Config!$B$3:$B$8,MATCH($G135,Config!$A$3:$A$8,0)),0)</f>
        <v/>
      </c>
      <c r="I135" s="60">
        <f>IFERROR(INDEX(Config!$C$3:$C$8,MATCH($G135,Config!$A$3:$A$8,0)),0)</f>
        <v/>
      </c>
      <c r="J135" s="59" t="inlineStr">
        <is>
          <t>DEC-031</t>
        </is>
      </c>
    </row>
    <row r="136" ht="15" customHeight="1" s="36">
      <c r="A136" s="57" t="n">
        <v>132</v>
      </c>
      <c r="B136" s="57" t="inlineStr">
        <is>
          <t>Ola 2 - Escalar comercialmente</t>
        </is>
      </c>
      <c r="C136" s="57" t="inlineStr">
        <is>
          <t>F12</t>
        </is>
      </c>
      <c r="D136" s="57" t="inlineStr">
        <is>
          <t>Integraciones</t>
        </is>
      </c>
      <c r="E136" s="58" t="inlineStr">
        <is>
          <t>12.6</t>
        </is>
      </c>
      <c r="F136" s="59" t="inlineStr">
        <is>
          <t>Pasarela de pago (solo si DEC-007 lo justifica)</t>
        </is>
      </c>
      <c r="G136" s="60" t="inlineStr">
        <is>
          <t>Pendiente</t>
        </is>
      </c>
      <c r="H136" s="61">
        <f>IFERROR(INDEX(Config!$B$3:$B$8,MATCH($G136,Config!$A$3:$A$8,0)),0)</f>
        <v/>
      </c>
      <c r="I136" s="60">
        <f>IFERROR(INDEX(Config!$C$3:$C$8,MATCH($G136,Config!$A$3:$A$8,0)),0)</f>
        <v/>
      </c>
      <c r="J136" s="59" t="inlineStr">
        <is>
          <t>Puede no hacer falta</t>
        </is>
      </c>
    </row>
    <row r="137" ht="15" customHeight="1" s="36">
      <c r="A137" s="57" t="n">
        <v>133</v>
      </c>
      <c r="B137" s="57" t="inlineStr">
        <is>
          <t>Ola 2 - Escalar comercialmente</t>
        </is>
      </c>
      <c r="C137" s="57" t="inlineStr">
        <is>
          <t>F12</t>
        </is>
      </c>
      <c r="D137" s="57" t="inlineStr">
        <is>
          <t>Integraciones</t>
        </is>
      </c>
      <c r="E137" s="58" t="inlineStr">
        <is>
          <t>12.7</t>
        </is>
      </c>
      <c r="F137" s="59" t="inlineStr">
        <is>
          <t>WhatsApp Business API para notificaciones</t>
        </is>
      </c>
      <c r="G137" s="60" t="inlineStr">
        <is>
          <t>Pendiente</t>
        </is>
      </c>
      <c r="H137" s="61">
        <f>IFERROR(INDEX(Config!$B$3:$B$8,MATCH($G137,Config!$A$3:$A$8,0)),0)</f>
        <v/>
      </c>
      <c r="I137" s="60">
        <f>IFERROR(INDEX(Config!$C$3:$C$8,MATCH($G137,Config!$A$3:$A$8,0)),0)</f>
        <v/>
      </c>
      <c r="J137" s="59" t="n"/>
    </row>
    <row r="138" ht="15" customHeight="1" s="36">
      <c r="A138" s="57" t="n">
        <v>134</v>
      </c>
      <c r="B138" s="57" t="inlineStr">
        <is>
          <t>Ola 2 - Escalar comercialmente</t>
        </is>
      </c>
      <c r="C138" s="57" t="inlineStr">
        <is>
          <t>F12</t>
        </is>
      </c>
      <c r="D138" s="57" t="inlineStr">
        <is>
          <t>Integraciones</t>
        </is>
      </c>
      <c r="E138" s="58" t="inlineStr">
        <is>
          <t>12.8</t>
        </is>
      </c>
      <c r="F138" s="59" t="inlineStr">
        <is>
          <t>Panel de salud de integraciones y simulador de resolucion</t>
        </is>
      </c>
      <c r="G138" s="60" t="inlineStr">
        <is>
          <t>Pendiente</t>
        </is>
      </c>
      <c r="H138" s="61">
        <f>IFERROR(INDEX(Config!$B$3:$B$8,MATCH($G138,Config!$A$3:$A$8,0)),0)</f>
        <v/>
      </c>
      <c r="I138" s="60">
        <f>IFERROR(INDEX(Config!$C$3:$C$8,MATCH($G138,Config!$A$3:$A$8,0)),0)</f>
        <v/>
      </c>
      <c r="J138" s="59" t="n"/>
    </row>
    <row r="139" ht="15" customHeight="1" s="36">
      <c r="A139" s="57" t="n">
        <v>135</v>
      </c>
      <c r="B139" s="57" t="inlineStr">
        <is>
          <t>Ola 2 - Escalar comercialmente</t>
        </is>
      </c>
      <c r="C139" s="57" t="inlineStr">
        <is>
          <t>F12</t>
        </is>
      </c>
      <c r="D139" s="57" t="inlineStr">
        <is>
          <t>Integraciones</t>
        </is>
      </c>
      <c r="E139" s="58" t="inlineStr">
        <is>
          <t>12.9</t>
        </is>
      </c>
      <c r="F139" s="59" t="inlineStr">
        <is>
          <t>QA de fase</t>
        </is>
      </c>
      <c r="G139" s="60" t="inlineStr">
        <is>
          <t>Pendiente</t>
        </is>
      </c>
      <c r="H139" s="61">
        <f>IFERROR(INDEX(Config!$B$3:$B$8,MATCH($G139,Config!$A$3:$A$8,0)),0)</f>
        <v/>
      </c>
      <c r="I139" s="60">
        <f>IFERROR(INDEX(Config!$C$3:$C$8,MATCH($G139,Config!$A$3:$A$8,0)),0)</f>
        <v/>
      </c>
      <c r="J139" s="59" t="n"/>
    </row>
    <row r="140" ht="15" customHeight="1" s="36">
      <c r="A140" s="57" t="n">
        <v>136</v>
      </c>
      <c r="B140" s="57" t="inlineStr">
        <is>
          <t>Ola 2 - Escalar comercialmente</t>
        </is>
      </c>
      <c r="C140" s="57" t="inlineStr">
        <is>
          <t>F13</t>
        </is>
      </c>
      <c r="D140" s="57" t="inlineStr">
        <is>
          <t>Portal de la marca</t>
        </is>
      </c>
      <c r="E140" s="58" t="inlineStr">
        <is>
          <t>13.1</t>
        </is>
      </c>
      <c r="F140" s="59" t="inlineStr">
        <is>
          <t>Invitacion y usuarios de cliente</t>
        </is>
      </c>
      <c r="G140" s="60" t="inlineStr">
        <is>
          <t>Pendiente</t>
        </is>
      </c>
      <c r="H140" s="61">
        <f>IFERROR(INDEX(Config!$B$3:$B$8,MATCH($G140,Config!$A$3:$A$8,0)),0)</f>
        <v/>
      </c>
      <c r="I140" s="60">
        <f>IFERROR(INDEX(Config!$C$3:$C$8,MATCH($G140,Config!$A$3:$A$8,0)),0)</f>
        <v/>
      </c>
      <c r="J140" s="59" t="n"/>
    </row>
    <row r="141" ht="15" customHeight="1" s="36">
      <c r="A141" s="57" t="n">
        <v>137</v>
      </c>
      <c r="B141" s="57" t="inlineStr">
        <is>
          <t>Ola 2 - Escalar comercialmente</t>
        </is>
      </c>
      <c r="C141" s="57" t="inlineStr">
        <is>
          <t>F13</t>
        </is>
      </c>
      <c r="D141" s="57" t="inlineStr">
        <is>
          <t>Portal de la marca</t>
        </is>
      </c>
      <c r="E141" s="58" t="inlineStr">
        <is>
          <t>13.2</t>
        </is>
      </c>
      <c r="F141" s="59" t="inlineStr">
        <is>
          <t>Dashboard de campana</t>
        </is>
      </c>
      <c r="G141" s="60" t="inlineStr">
        <is>
          <t>Pendiente</t>
        </is>
      </c>
      <c r="H141" s="61">
        <f>IFERROR(INDEX(Config!$B$3:$B$8,MATCH($G141,Config!$A$3:$A$8,0)),0)</f>
        <v/>
      </c>
      <c r="I141" s="60">
        <f>IFERROR(INDEX(Config!$C$3:$C$8,MATCH($G141,Config!$A$3:$A$8,0)),0)</f>
        <v/>
      </c>
      <c r="J141" s="59" t="n"/>
    </row>
    <row r="142" ht="15" customHeight="1" s="36">
      <c r="A142" s="57" t="n">
        <v>138</v>
      </c>
      <c r="B142" s="57" t="inlineStr">
        <is>
          <t>Ola 2 - Escalar comercialmente</t>
        </is>
      </c>
      <c r="C142" s="57" t="inlineStr">
        <is>
          <t>F13</t>
        </is>
      </c>
      <c r="D142" s="57" t="inlineStr">
        <is>
          <t>Portal de la marca</t>
        </is>
      </c>
      <c r="E142" s="58" t="inlineStr">
        <is>
          <t>13.3</t>
        </is>
      </c>
      <c r="F142" s="59" t="inlineStr">
        <is>
          <t>Aprobacion de brief y contenido dentro del portal</t>
        </is>
      </c>
      <c r="G142" s="60" t="inlineStr">
        <is>
          <t>Pendiente</t>
        </is>
      </c>
      <c r="H142" s="61">
        <f>IFERROR(INDEX(Config!$B$3:$B$8,MATCH($G142,Config!$A$3:$A$8,0)),0)</f>
        <v/>
      </c>
      <c r="I142" s="60">
        <f>IFERROR(INDEX(Config!$C$3:$C$8,MATCH($G142,Config!$A$3:$A$8,0)),0)</f>
        <v/>
      </c>
      <c r="J142" s="59" t="n"/>
    </row>
    <row r="143" ht="15" customHeight="1" s="36">
      <c r="A143" s="57" t="n">
        <v>139</v>
      </c>
      <c r="B143" s="57" t="inlineStr">
        <is>
          <t>Ola 2 - Escalar comercialmente</t>
        </is>
      </c>
      <c r="C143" s="57" t="inlineStr">
        <is>
          <t>F13</t>
        </is>
      </c>
      <c r="D143" s="57" t="inlineStr">
        <is>
          <t>Portal de la marca</t>
        </is>
      </c>
      <c r="E143" s="58" t="inlineStr">
        <is>
          <t>13.4</t>
        </is>
      </c>
      <c r="F143" s="59" t="inlineStr">
        <is>
          <t>Biblioteca de contenido aprobado con derechos y vigencia</t>
        </is>
      </c>
      <c r="G143" s="60" t="inlineStr">
        <is>
          <t>Pendiente</t>
        </is>
      </c>
      <c r="H143" s="61">
        <f>IFERROR(INDEX(Config!$B$3:$B$8,MATCH($G143,Config!$A$3:$A$8,0)),0)</f>
        <v/>
      </c>
      <c r="I143" s="60">
        <f>IFERROR(INDEX(Config!$C$3:$C$8,MATCH($G143,Config!$A$3:$A$8,0)),0)</f>
        <v/>
      </c>
      <c r="J143" s="59" t="n"/>
    </row>
    <row r="144" ht="15" customHeight="1" s="36">
      <c r="A144" s="57" t="n">
        <v>140</v>
      </c>
      <c r="B144" s="57" t="inlineStr">
        <is>
          <t>Ola 2 - Escalar comercialmente</t>
        </is>
      </c>
      <c r="C144" s="57" t="inlineStr">
        <is>
          <t>F13</t>
        </is>
      </c>
      <c r="D144" s="57" t="inlineStr">
        <is>
          <t>Portal de la marca</t>
        </is>
      </c>
      <c r="E144" s="58" t="inlineStr">
        <is>
          <t>13.5</t>
        </is>
      </c>
      <c r="F144" s="59" t="inlineStr">
        <is>
          <t>Reportes en vivo</t>
        </is>
      </c>
      <c r="G144" s="60" t="inlineStr">
        <is>
          <t>Pendiente</t>
        </is>
      </c>
      <c r="H144" s="61">
        <f>IFERROR(INDEX(Config!$B$3:$B$8,MATCH($G144,Config!$A$3:$A$8,0)),0)</f>
        <v/>
      </c>
      <c r="I144" s="60">
        <f>IFERROR(INDEX(Config!$C$3:$C$8,MATCH($G144,Config!$A$3:$A$8,0)),0)</f>
        <v/>
      </c>
      <c r="J144" s="59" t="n"/>
    </row>
    <row r="145" ht="23.25" customHeight="1" s="36">
      <c r="A145" s="57" t="n">
        <v>141</v>
      </c>
      <c r="B145" s="57" t="inlineStr">
        <is>
          <t>Ola 2 - Escalar comercialmente</t>
        </is>
      </c>
      <c r="C145" s="57" t="inlineStr">
        <is>
          <t>F13</t>
        </is>
      </c>
      <c r="D145" s="57" t="inlineStr">
        <is>
          <t>Portal de la marca</t>
        </is>
      </c>
      <c r="E145" s="58" t="inlineStr">
        <is>
          <t>13.6</t>
        </is>
      </c>
      <c r="F145" s="59" t="inlineStr">
        <is>
          <t>Facturas y estado de cuenta</t>
        </is>
      </c>
      <c r="G145" s="60" t="inlineStr">
        <is>
          <t>Pendiente</t>
        </is>
      </c>
      <c r="H145" s="61">
        <f>IFERROR(INDEX(Config!$B$3:$B$8,MATCH($G145,Config!$A$3:$A$8,0)),0)</f>
        <v/>
      </c>
      <c r="I145" s="60">
        <f>IFERROR(INDEX(Config!$C$3:$C$8,MATCH($G145,Config!$A$3:$A$8,0)),0)</f>
        <v/>
      </c>
      <c r="J145" s="59" t="n"/>
    </row>
    <row r="146" ht="15" customHeight="1" s="36">
      <c r="A146" s="57" t="n">
        <v>142</v>
      </c>
      <c r="B146" s="57" t="inlineStr">
        <is>
          <t>Ola 2 - Escalar comercialmente</t>
        </is>
      </c>
      <c r="C146" s="57" t="inlineStr">
        <is>
          <t>F13</t>
        </is>
      </c>
      <c r="D146" s="57" t="inlineStr">
        <is>
          <t>Portal de la marca</t>
        </is>
      </c>
      <c r="E146" s="58" t="inlineStr">
        <is>
          <t>13.7</t>
        </is>
      </c>
      <c r="F146" s="59" t="inlineStr">
        <is>
          <t>QA de fase</t>
        </is>
      </c>
      <c r="G146" s="60" t="inlineStr">
        <is>
          <t>Pendiente</t>
        </is>
      </c>
      <c r="H146" s="61">
        <f>IFERROR(INDEX(Config!$B$3:$B$8,MATCH($G146,Config!$A$3:$A$8,0)),0)</f>
        <v/>
      </c>
      <c r="I146" s="60">
        <f>IFERROR(INDEX(Config!$C$3:$C$8,MATCH($G146,Config!$A$3:$A$8,0)),0)</f>
        <v/>
      </c>
      <c r="J146" s="59" t="n"/>
    </row>
    <row r="147" ht="15" customHeight="1" s="36">
      <c r="A147" s="57" t="n">
        <v>143</v>
      </c>
      <c r="B147" s="57" t="inlineStr">
        <is>
          <t>Ola 2 - Escalar comercialmente</t>
        </is>
      </c>
      <c r="C147" s="57" t="inlineStr">
        <is>
          <t>F14</t>
        </is>
      </c>
      <c r="D147" s="57" t="inlineStr">
        <is>
          <t>Creator Intelligence</t>
        </is>
      </c>
      <c r="E147" s="58" t="inlineStr">
        <is>
          <t>14.1</t>
        </is>
      </c>
      <c r="F147" s="59" t="inlineStr">
        <is>
          <t>Evaluaciones post-campana (interna y de cliente)</t>
        </is>
      </c>
      <c r="G147" s="60" t="inlineStr">
        <is>
          <t>Pendiente</t>
        </is>
      </c>
      <c r="H147" s="61">
        <f>IFERROR(INDEX(Config!$B$3:$B$8,MATCH($G147,Config!$A$3:$A$8,0)),0)</f>
        <v/>
      </c>
      <c r="I147" s="60">
        <f>IFERROR(INDEX(Config!$C$3:$C$8,MATCH($G147,Config!$A$3:$A$8,0)),0)</f>
        <v/>
      </c>
      <c r="J147" s="59" t="n"/>
    </row>
    <row r="148" ht="23.25" customHeight="1" s="36">
      <c r="A148" s="57" t="n">
        <v>144</v>
      </c>
      <c r="B148" s="57" t="inlineStr">
        <is>
          <t>Ola 2 - Escalar comercialmente</t>
        </is>
      </c>
      <c r="C148" s="57" t="inlineStr">
        <is>
          <t>F14</t>
        </is>
      </c>
      <c r="D148" s="57" t="inlineStr">
        <is>
          <t>Creator Intelligence</t>
        </is>
      </c>
      <c r="E148" s="58" t="inlineStr">
        <is>
          <t>14.2</t>
        </is>
      </c>
      <c r="F148" s="59" t="inlineStr">
        <is>
          <t>Senales y metricas derivadas</t>
        </is>
      </c>
      <c r="G148" s="60" t="inlineStr">
        <is>
          <t>Pendiente</t>
        </is>
      </c>
      <c r="H148" s="61">
        <f>IFERROR(INDEX(Config!$B$3:$B$8,MATCH($G148,Config!$A$3:$A$8,0)),0)</f>
        <v/>
      </c>
      <c r="I148" s="60">
        <f>IFERROR(INDEX(Config!$C$3:$C$8,MATCH($G148,Config!$A$3:$A$8,0)),0)</f>
        <v/>
      </c>
      <c r="J148" s="59" t="n"/>
    </row>
    <row r="149" ht="15" customHeight="1" s="36">
      <c r="A149" s="57" t="n">
        <v>145</v>
      </c>
      <c r="B149" s="57" t="inlineStr">
        <is>
          <t>Ola 2 - Escalar comercialmente</t>
        </is>
      </c>
      <c r="C149" s="57" t="inlineStr">
        <is>
          <t>F14</t>
        </is>
      </c>
      <c r="D149" s="57" t="inlineStr">
        <is>
          <t>Creator Intelligence</t>
        </is>
      </c>
      <c r="E149" s="58" t="inlineStr">
        <is>
          <t>14.3</t>
        </is>
      </c>
      <c r="F149" s="59" t="inlineStr">
        <is>
          <t>Creator Score basado en reglas explicitas y auditables</t>
        </is>
      </c>
      <c r="G149" s="60" t="inlineStr">
        <is>
          <t>Pendiente</t>
        </is>
      </c>
      <c r="H149" s="61">
        <f>IFERROR(INDEX(Config!$B$3:$B$8,MATCH($G149,Config!$A$3:$A$8,0)),0)</f>
        <v/>
      </c>
      <c r="I149" s="60">
        <f>IFERROR(INDEX(Config!$C$3:$C$8,MATCH($G149,Config!$A$3:$A$8,0)),0)</f>
        <v/>
      </c>
      <c r="J149" s="59" t="inlineStr">
        <is>
          <t>Solo tiene sentido despues de F10: antes es un numero inventado</t>
        </is>
      </c>
    </row>
    <row r="150" ht="15" customHeight="1" s="36">
      <c r="A150" s="57" t="n">
        <v>146</v>
      </c>
      <c r="B150" s="57" t="inlineStr">
        <is>
          <t>Ola 2 - Escalar comercialmente</t>
        </is>
      </c>
      <c r="C150" s="57" t="inlineStr">
        <is>
          <t>F14</t>
        </is>
      </c>
      <c r="D150" s="57" t="inlineStr">
        <is>
          <t>Creator Intelligence</t>
        </is>
      </c>
      <c r="E150" s="58" t="inlineStr">
        <is>
          <t>14.4</t>
        </is>
      </c>
      <c r="F150" s="59" t="inlineStr">
        <is>
          <t>Score por plataforma/categoria/tipo de campana</t>
        </is>
      </c>
      <c r="G150" s="60" t="inlineStr">
        <is>
          <t>Pendiente</t>
        </is>
      </c>
      <c r="H150" s="61">
        <f>IFERROR(INDEX(Config!$B$3:$B$8,MATCH($G150,Config!$A$3:$A$8,0)),0)</f>
        <v/>
      </c>
      <c r="I150" s="60">
        <f>IFERROR(INDEX(Config!$C$3:$C$8,MATCH($G150,Config!$A$3:$A$8,0)),0)</f>
        <v/>
      </c>
      <c r="J150" s="59" t="n"/>
    </row>
    <row r="151" ht="15" customHeight="1" s="36">
      <c r="A151" s="57" t="n">
        <v>147</v>
      </c>
      <c r="B151" s="57" t="inlineStr">
        <is>
          <t>Ola 2 - Escalar comercialmente</t>
        </is>
      </c>
      <c r="C151" s="57" t="inlineStr">
        <is>
          <t>F14</t>
        </is>
      </c>
      <c r="D151" s="57" t="inlineStr">
        <is>
          <t>Creator Intelligence</t>
        </is>
      </c>
      <c r="E151" s="58" t="inlineStr">
        <is>
          <t>14.5</t>
        </is>
      </c>
      <c r="F151" s="59" t="inlineStr">
        <is>
          <t>Matching asistido con ranking y deteccion de conflictos de marca</t>
        </is>
      </c>
      <c r="G151" s="60" t="inlineStr">
        <is>
          <t>Pendiente</t>
        </is>
      </c>
      <c r="H151" s="61">
        <f>IFERROR(INDEX(Config!$B$3:$B$8,MATCH($G151,Config!$A$3:$A$8,0)),0)</f>
        <v/>
      </c>
      <c r="I151" s="60">
        <f>IFERROR(INDEX(Config!$C$3:$C$8,MATCH($G151,Config!$A$3:$A$8,0)),0)</f>
        <v/>
      </c>
      <c r="J151" s="59" t="n"/>
    </row>
    <row r="152" ht="15" customHeight="1" s="36">
      <c r="A152" s="57" t="n">
        <v>148</v>
      </c>
      <c r="B152" s="57" t="inlineStr">
        <is>
          <t>Ola 2 - Escalar comercialmente</t>
        </is>
      </c>
      <c r="C152" s="57" t="inlineStr">
        <is>
          <t>F14</t>
        </is>
      </c>
      <c r="D152" s="57" t="inlineStr">
        <is>
          <t>Creator Intelligence</t>
        </is>
      </c>
      <c r="E152" s="58" t="inlineStr">
        <is>
          <t>14.6</t>
        </is>
      </c>
      <c r="F152" s="59" t="inlineStr">
        <is>
          <t>Deteccion de anomalias de audiencia</t>
        </is>
      </c>
      <c r="G152" s="60" t="inlineStr">
        <is>
          <t>Pendiente</t>
        </is>
      </c>
      <c r="H152" s="61">
        <f>IFERROR(INDEX(Config!$B$3:$B$8,MATCH($G152,Config!$A$3:$A$8,0)),0)</f>
        <v/>
      </c>
      <c r="I152" s="60">
        <f>IFERROR(INDEX(Config!$C$3:$C$8,MATCH($G152,Config!$A$3:$A$8,0)),0)</f>
        <v/>
      </c>
      <c r="J152" s="59" t="n"/>
    </row>
    <row r="153" ht="15" customHeight="1" s="36">
      <c r="A153" s="57" t="n">
        <v>149</v>
      </c>
      <c r="B153" s="57" t="inlineStr">
        <is>
          <t>Ola 2 - Escalar comercialmente</t>
        </is>
      </c>
      <c r="C153" s="57" t="inlineStr">
        <is>
          <t>F14</t>
        </is>
      </c>
      <c r="D153" s="57" t="inlineStr">
        <is>
          <t>Creator Intelligence</t>
        </is>
      </c>
      <c r="E153" s="58" t="inlineStr">
        <is>
          <t>14.7</t>
        </is>
      </c>
      <c r="F153" s="59" t="inlineStr">
        <is>
          <t>Gamificacion: motor de reglas de XP, ledger append-only, niveles, panel y simulador</t>
        </is>
      </c>
      <c r="G153" s="60" t="inlineStr">
        <is>
          <t>Pendiente</t>
        </is>
      </c>
      <c r="H153" s="61">
        <f>IFERROR(INDEX(Config!$B$3:$B$8,MATCH($G153,Config!$A$3:$A$8,0)),0)</f>
        <v/>
      </c>
      <c r="I153" s="60">
        <f>IFERROR(INDEX(Config!$C$3:$C$8,MATCH($G153,Config!$A$3:$A$8,0)),0)</f>
        <v/>
      </c>
      <c r="J153" s="59" t="inlineStr">
        <is>
          <t>Q-23/Q-24/Q-25 respondidas (DEC-194): se premia con RECONOCIMIENTO y con un catalogo de premios canjeables por XP, configurable desde el admin. Nada de dinero. El hito que consolida un referido es la primera campana completada.</t>
        </is>
      </c>
    </row>
    <row r="154" ht="15" customHeight="1" s="36">
      <c r="A154" s="57" t="n">
        <v>150</v>
      </c>
      <c r="B154" s="57" t="inlineStr">
        <is>
          <t>Ola 2 - Escalar comercialmente</t>
        </is>
      </c>
      <c r="C154" s="57" t="inlineStr">
        <is>
          <t>F14</t>
        </is>
      </c>
      <c r="D154" s="57" t="inlineStr">
        <is>
          <t>Creator Intelligence</t>
        </is>
      </c>
      <c r="E154" s="58" t="inlineStr">
        <is>
          <t>14.8</t>
        </is>
      </c>
      <c r="F154" s="59" t="inlineStr">
        <is>
          <t>Insignias y Academia del creador</t>
        </is>
      </c>
      <c r="G154" s="60" t="inlineStr">
        <is>
          <t>Pendiente</t>
        </is>
      </c>
      <c r="H154" s="61">
        <f>IFERROR(INDEX(Config!$B$3:$B$8,MATCH($G154,Config!$A$3:$A$8,0)),0)</f>
        <v/>
      </c>
      <c r="I154" s="60">
        <f>IFERROR(INDEX(Config!$C$3:$C$8,MATCH($G154,Config!$A$3:$A$8,0)),0)</f>
        <v/>
      </c>
      <c r="J154" s="59" t="inlineStr">
        <is>
          <t>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is>
      </c>
    </row>
    <row r="155" ht="15" customHeight="1" s="36">
      <c r="A155" s="57" t="n">
        <v>151</v>
      </c>
      <c r="B155" s="57" t="inlineStr">
        <is>
          <t>Ola 2 - Escalar comercialmente</t>
        </is>
      </c>
      <c r="C155" s="57" t="inlineStr">
        <is>
          <t>F14</t>
        </is>
      </c>
      <c r="D155" s="57" t="inlineStr">
        <is>
          <t>Creator Intelligence</t>
        </is>
      </c>
      <c r="E155" s="58" t="inlineStr">
        <is>
          <t>14.9</t>
        </is>
      </c>
      <c r="F155" s="59" t="inlineStr">
        <is>
          <t>QA de fase</t>
        </is>
      </c>
      <c r="G155" s="60" t="inlineStr">
        <is>
          <t>Pendiente</t>
        </is>
      </c>
      <c r="H155" s="61">
        <f>IFERROR(INDEX(Config!$B$3:$B$8,MATCH($G155,Config!$A$3:$A$8,0)),0)</f>
        <v/>
      </c>
      <c r="I155" s="60">
        <f>IFERROR(INDEX(Config!$C$3:$C$8,MATCH($G155,Config!$A$3:$A$8,0)),0)</f>
        <v/>
      </c>
      <c r="J155" s="59" t="n"/>
    </row>
    <row r="156" ht="15" customHeight="1" s="36">
      <c r="A156" s="57" t="n">
        <v>152</v>
      </c>
      <c r="B156" s="57" t="inlineStr">
        <is>
          <t>Ola 3 - Internacionalizar y endurecer</t>
        </is>
      </c>
      <c r="C156" s="57" t="inlineStr">
        <is>
          <t>F15</t>
        </is>
      </c>
      <c r="D156" s="57" t="inlineStr">
        <is>
          <t>Internacionalizacion real</t>
        </is>
      </c>
      <c r="E156" s="58" t="inlineStr">
        <is>
          <t>15.0</t>
        </is>
      </c>
      <c r="F156" s="59" t="inlineStr">
        <is>
          <t>Gamificacion avanzada: ligas, retos, referidos, recompensas y canjes auditados</t>
        </is>
      </c>
      <c r="G156" s="60" t="inlineStr">
        <is>
          <t>Pendiente</t>
        </is>
      </c>
      <c r="H156" s="61">
        <f>IFERROR(INDEX(Config!$B$3:$B$8,MATCH($G156,Config!$A$3:$A$8,0)),0)</f>
        <v/>
      </c>
      <c r="I156" s="60">
        <f>IFERROR(INDEX(Config!$C$3:$C$8,MATCH($G156,Config!$A$3:$A$8,0)),0)</f>
        <v/>
      </c>
      <c r="J156" s="59" t="inlineStr">
        <is>
          <t>Requiere validacion legal previa (Q-24)</t>
        </is>
      </c>
    </row>
    <row r="157" ht="15" customHeight="1" s="36">
      <c r="A157" s="57" t="n">
        <v>153</v>
      </c>
      <c r="B157" s="57" t="inlineStr">
        <is>
          <t>Ola 3 - Internacionalizar y endurecer</t>
        </is>
      </c>
      <c r="C157" s="57" t="inlineStr">
        <is>
          <t>F15</t>
        </is>
      </c>
      <c r="D157" s="57" t="inlineStr">
        <is>
          <t>Internacionalizacion real</t>
        </is>
      </c>
      <c r="E157" s="58" t="inlineStr">
        <is>
          <t>15.1</t>
        </is>
      </c>
      <c r="F157" s="59" t="inlineStr">
        <is>
          <t>Traduccion de UI y correos (en-US, pt-BR)</t>
        </is>
      </c>
      <c r="G157" s="60" t="inlineStr">
        <is>
          <t>Pendiente</t>
        </is>
      </c>
      <c r="H157" s="61">
        <f>IFERROR(INDEX(Config!$B$3:$B$8,MATCH($G157,Config!$A$3:$A$8,0)),0)</f>
        <v/>
      </c>
      <c r="I157" s="60">
        <f>IFERROR(INDEX(Config!$C$3:$C$8,MATCH($G157,Config!$A$3:$A$8,0)),0)</f>
        <v/>
      </c>
      <c r="J157" s="59" t="n"/>
    </row>
    <row r="158" ht="15" customHeight="1" s="36">
      <c r="A158" s="57" t="n">
        <v>154</v>
      </c>
      <c r="B158" s="57" t="inlineStr">
        <is>
          <t>Ola 3 - Internacionalizar y endurecer</t>
        </is>
      </c>
      <c r="C158" s="57" t="inlineStr">
        <is>
          <t>F15</t>
        </is>
      </c>
      <c r="D158" s="57" t="inlineStr">
        <is>
          <t>Internacionalizacion real</t>
        </is>
      </c>
      <c r="E158" s="58" t="inlineStr">
        <is>
          <t>15.2</t>
        </is>
      </c>
      <c r="F158" s="59" t="inlineStr">
        <is>
          <t>Esquemas fiscales por pais (documentos, retenciones, comprobantes)</t>
        </is>
      </c>
      <c r="G158" s="60" t="inlineStr">
        <is>
          <t>Pendiente</t>
        </is>
      </c>
      <c r="H158" s="61">
        <f>IFERROR(INDEX(Config!$B$3:$B$8,MATCH($G158,Config!$A$3:$A$8,0)),0)</f>
        <v/>
      </c>
      <c r="I158" s="60">
        <f>IFERROR(INDEX(Config!$C$3:$C$8,MATCH($G158,Config!$A$3:$A$8,0)),0)</f>
        <v/>
      </c>
      <c r="J158" s="59" t="n"/>
    </row>
    <row r="159" ht="15" customHeight="1" s="36">
      <c r="A159" s="57" t="n">
        <v>155</v>
      </c>
      <c r="B159" s="57" t="inlineStr">
        <is>
          <t>Ola 3 - Internacionalizar y endurecer</t>
        </is>
      </c>
      <c r="C159" s="57" t="inlineStr">
        <is>
          <t>F15</t>
        </is>
      </c>
      <c r="D159" s="57" t="inlineStr">
        <is>
          <t>Internacionalizacion real</t>
        </is>
      </c>
      <c r="E159" s="58" t="inlineStr">
        <is>
          <t>15.3</t>
        </is>
      </c>
      <c r="F159" s="59" t="inlineStr">
        <is>
          <t>Proveedores de facturacion por pais</t>
        </is>
      </c>
      <c r="G159" s="60" t="inlineStr">
        <is>
          <t>Pendiente</t>
        </is>
      </c>
      <c r="H159" s="61">
        <f>IFERROR(INDEX(Config!$B$3:$B$8,MATCH($G159,Config!$A$3:$A$8,0)),0)</f>
        <v/>
      </c>
      <c r="I159" s="60">
        <f>IFERROR(INDEX(Config!$C$3:$C$8,MATCH($G159,Config!$A$3:$A$8,0)),0)</f>
        <v/>
      </c>
      <c r="J159" s="59" t="n"/>
    </row>
    <row r="160" ht="15" customHeight="1" s="36">
      <c r="A160" s="57" t="n">
        <v>156</v>
      </c>
      <c r="B160" s="57" t="inlineStr">
        <is>
          <t>Ola 3 - Internacionalizar y endurecer</t>
        </is>
      </c>
      <c r="C160" s="57" t="inlineStr">
        <is>
          <t>F15</t>
        </is>
      </c>
      <c r="D160" s="57" t="inlineStr">
        <is>
          <t>Internacionalizacion real</t>
        </is>
      </c>
      <c r="E160" s="58" t="inlineStr">
        <is>
          <t>15.4</t>
        </is>
      </c>
      <c r="F160" s="59" t="inlineStr">
        <is>
          <t>Medios de pago por pais</t>
        </is>
      </c>
      <c r="G160" s="60" t="inlineStr">
        <is>
          <t>Pendiente</t>
        </is>
      </c>
      <c r="H160" s="61">
        <f>IFERROR(INDEX(Config!$B$3:$B$8,MATCH($G160,Config!$A$3:$A$8,0)),0)</f>
        <v/>
      </c>
      <c r="I160" s="60">
        <f>IFERROR(INDEX(Config!$C$3:$C$8,MATCH($G160,Config!$A$3:$A$8,0)),0)</f>
        <v/>
      </c>
      <c r="J160" s="59" t="n"/>
    </row>
    <row r="161" ht="15" customHeight="1" s="36">
      <c r="A161" s="57" t="n">
        <v>157</v>
      </c>
      <c r="B161" s="57" t="inlineStr">
        <is>
          <t>Ola 3 - Internacionalizar y endurecer</t>
        </is>
      </c>
      <c r="C161" s="57" t="inlineStr">
        <is>
          <t>F15</t>
        </is>
      </c>
      <c r="D161" s="57" t="inlineStr">
        <is>
          <t>Internacionalizacion real</t>
        </is>
      </c>
      <c r="E161" s="58" t="inlineStr">
        <is>
          <t>15.5</t>
        </is>
      </c>
      <c r="F161" s="59" t="inlineStr">
        <is>
          <t>Zonas horarias en operacion multipais</t>
        </is>
      </c>
      <c r="G161" s="60" t="inlineStr">
        <is>
          <t>Pendiente</t>
        </is>
      </c>
      <c r="H161" s="61">
        <f>IFERROR(INDEX(Config!$B$3:$B$8,MATCH($G161,Config!$A$3:$A$8,0)),0)</f>
        <v/>
      </c>
      <c r="I161" s="60">
        <f>IFERROR(INDEX(Config!$C$3:$C$8,MATCH($G161,Config!$A$3:$A$8,0)),0)</f>
        <v/>
      </c>
      <c r="J161" s="59" t="n"/>
    </row>
    <row r="162" ht="15" customHeight="1" s="36">
      <c r="A162" s="57" t="n">
        <v>158</v>
      </c>
      <c r="B162" s="57" t="inlineStr">
        <is>
          <t>Ola 3 - Internacionalizar y endurecer</t>
        </is>
      </c>
      <c r="C162" s="57" t="inlineStr">
        <is>
          <t>F15</t>
        </is>
      </c>
      <c r="D162" s="57" t="inlineStr">
        <is>
          <t>Internacionalizacion real</t>
        </is>
      </c>
      <c r="E162" s="58" t="inlineStr">
        <is>
          <t>15.6</t>
        </is>
      </c>
      <c r="F162" s="59" t="inlineStr">
        <is>
          <t>Cumplimiento de privacidad por jurisdiccion y responsable del tratamiento</t>
        </is>
      </c>
      <c r="G162" s="60" t="inlineStr">
        <is>
          <t>Pendiente</t>
        </is>
      </c>
      <c r="H162" s="61">
        <f>IFERROR(INDEX(Config!$B$3:$B$8,MATCH($G162,Config!$A$3:$A$8,0)),0)</f>
        <v/>
      </c>
      <c r="I162" s="60">
        <f>IFERROR(INDEX(Config!$C$3:$C$8,MATCH($G162,Config!$A$3:$A$8,0)),0)</f>
        <v/>
      </c>
      <c r="J162" s="59" t="n"/>
    </row>
    <row r="163" ht="15" customHeight="1" s="36">
      <c r="A163" s="57" t="n">
        <v>159</v>
      </c>
      <c r="B163" s="57" t="inlineStr">
        <is>
          <t>Ola 3 - Internacionalizar y endurecer</t>
        </is>
      </c>
      <c r="C163" s="57" t="inlineStr">
        <is>
          <t>F15</t>
        </is>
      </c>
      <c r="D163" s="57" t="inlineStr">
        <is>
          <t>Internacionalizacion real</t>
        </is>
      </c>
      <c r="E163" s="58" t="inlineStr">
        <is>
          <t>15.7</t>
        </is>
      </c>
      <c r="F163" s="59" t="inlineStr">
        <is>
          <t>QA de fase</t>
        </is>
      </c>
      <c r="G163" s="60" t="inlineStr">
        <is>
          <t>Pendiente</t>
        </is>
      </c>
      <c r="H163" s="61">
        <f>IFERROR(INDEX(Config!$B$3:$B$8,MATCH($G163,Config!$A$3:$A$8,0)),0)</f>
        <v/>
      </c>
      <c r="I163" s="60">
        <f>IFERROR(INDEX(Config!$C$3:$C$8,MATCH($G163,Config!$A$3:$A$8,0)),0)</f>
        <v/>
      </c>
      <c r="J163" s="59" t="n"/>
    </row>
    <row r="164" ht="15" customHeight="1" s="36">
      <c r="A164" s="57" t="n">
        <v>160</v>
      </c>
      <c r="B164" s="57" t="inlineStr">
        <is>
          <t>Ola 3 - Internacionalizar y endurecer</t>
        </is>
      </c>
      <c r="C164" s="57" t="inlineStr">
        <is>
          <t>F15</t>
        </is>
      </c>
      <c r="D164" s="57" t="inlineStr">
        <is>
          <t>Internacionalizacion real</t>
        </is>
      </c>
      <c r="E164" s="58" t="inlineStr">
        <is>
          <t>15.8</t>
        </is>
      </c>
      <c r="F164" s="59" t="inlineStr">
        <is>
          <t>Alta de una nueva entidad legal: lista de verificacion operativa</t>
        </is>
      </c>
      <c r="G164" s="60" t="inlineStr">
        <is>
          <t>Pendiente</t>
        </is>
      </c>
      <c r="H164" s="61">
        <f>IFERROR(INDEX(Config!$B$3:$B$8,MATCH($G164,Config!$A$3:$A$8,0)),0)</f>
        <v/>
      </c>
      <c r="I164" s="60">
        <f>IFERROR(INDEX(Config!$C$3:$C$8,MATCH($G164,Config!$A$3:$A$8,0)),0)</f>
        <v/>
      </c>
      <c r="J164" s="59" t="inlineStr">
        <is>
          <t>El modelo ya lo soporta desde 4.5b; falta el procedimiento</t>
        </is>
      </c>
    </row>
    <row r="165" ht="15" customHeight="1" s="36">
      <c r="A165" s="57" t="n">
        <v>161</v>
      </c>
      <c r="B165" s="57" t="inlineStr">
        <is>
          <t>Ola 3 - Internacionalizar y endurecer</t>
        </is>
      </c>
      <c r="C165" s="57" t="inlineStr">
        <is>
          <t>F16</t>
        </is>
      </c>
      <c r="D165" s="57" t="inlineStr">
        <is>
          <t>Hardening</t>
        </is>
      </c>
      <c r="E165" s="58" t="inlineStr">
        <is>
          <t>16.1</t>
        </is>
      </c>
      <c r="F165" s="59" t="inlineStr">
        <is>
          <t>Revision OWASP completa</t>
        </is>
      </c>
      <c r="G165" s="60" t="inlineStr">
        <is>
          <t>Pendiente</t>
        </is>
      </c>
      <c r="H165" s="61">
        <f>IFERROR(INDEX(Config!$B$3:$B$8,MATCH($G165,Config!$A$3:$A$8,0)),0)</f>
        <v/>
      </c>
      <c r="I165" s="60">
        <f>IFERROR(INDEX(Config!$C$3:$C$8,MATCH($G165,Config!$A$3:$A$8,0)),0)</f>
        <v/>
      </c>
      <c r="J165" s="59" t="n"/>
    </row>
    <row r="166" ht="15" customHeight="1" s="36">
      <c r="A166" s="57" t="n">
        <v>162</v>
      </c>
      <c r="B166" s="57" t="inlineStr">
        <is>
          <t>Ola 3 - Internacionalizar y endurecer</t>
        </is>
      </c>
      <c r="C166" s="57" t="inlineStr">
        <is>
          <t>F16</t>
        </is>
      </c>
      <c r="D166" s="57" t="inlineStr">
        <is>
          <t>Hardening</t>
        </is>
      </c>
      <c r="E166" s="58" t="inlineStr">
        <is>
          <t>16.2</t>
        </is>
      </c>
      <c r="F166" s="59" t="inlineStr">
        <is>
          <t>Pruebas de penetracion</t>
        </is>
      </c>
      <c r="G166" s="60" t="inlineStr">
        <is>
          <t>Pendiente</t>
        </is>
      </c>
      <c r="H166" s="61">
        <f>IFERROR(INDEX(Config!$B$3:$B$8,MATCH($G166,Config!$A$3:$A$8,0)),0)</f>
        <v/>
      </c>
      <c r="I166" s="60">
        <f>IFERROR(INDEX(Config!$C$3:$C$8,MATCH($G166,Config!$A$3:$A$8,0)),0)</f>
        <v/>
      </c>
      <c r="J166" s="59" t="n"/>
    </row>
    <row r="167" ht="15" customHeight="1" s="36">
      <c r="A167" s="57" t="n">
        <v>163</v>
      </c>
      <c r="B167" s="57" t="inlineStr">
        <is>
          <t>Ola 3 - Internacionalizar y endurecer</t>
        </is>
      </c>
      <c r="C167" s="57" t="inlineStr">
        <is>
          <t>F16</t>
        </is>
      </c>
      <c r="D167" s="57" t="inlineStr">
        <is>
          <t>Hardening</t>
        </is>
      </c>
      <c r="E167" s="58" t="inlineStr">
        <is>
          <t>16.3</t>
        </is>
      </c>
      <c r="F167" s="59" t="inlineStr">
        <is>
          <t>Pruebas de carga y perfilado de consultas</t>
        </is>
      </c>
      <c r="G167" s="60" t="inlineStr">
        <is>
          <t>Pendiente</t>
        </is>
      </c>
      <c r="H167" s="61">
        <f>IFERROR(INDEX(Config!$B$3:$B$8,MATCH($G167,Config!$A$3:$A$8,0)),0)</f>
        <v/>
      </c>
      <c r="I167" s="60">
        <f>IFERROR(INDEX(Config!$C$3:$C$8,MATCH($G167,Config!$A$3:$A$8,0)),0)</f>
        <v/>
      </c>
      <c r="J167" s="59" t="n"/>
    </row>
    <row r="168" ht="15" customHeight="1" s="36">
      <c r="A168" s="57" t="n">
        <v>164</v>
      </c>
      <c r="B168" s="35" t="inlineStr">
        <is>
          <t>Ola 3 - Internacionalizar y endurecer</t>
        </is>
      </c>
      <c r="C168" s="35" t="inlineStr">
        <is>
          <t>F16</t>
        </is>
      </c>
      <c r="D168" s="35" t="inlineStr">
        <is>
          <t>Hardening</t>
        </is>
      </c>
      <c r="E168" s="35" t="inlineStr">
        <is>
          <t>16.4</t>
        </is>
      </c>
      <c r="F168" s="35" t="inlineStr">
        <is>
          <t>Indices y archivado bajo volumen real</t>
        </is>
      </c>
      <c r="G168" s="35" t="inlineStr">
        <is>
          <t>Pendiente</t>
        </is>
      </c>
      <c r="H168" s="62">
        <f>IFERROR(INDEX(Config!$B$3:$B$8,MATCH($G168,Config!$A$3:$A$8,0)),0)</f>
        <v/>
      </c>
      <c r="I168" s="35">
        <f>IFERROR(INDEX(Config!$C$3:$C$8,MATCH($G168,Config!$A$3:$A$8,0)),0)</f>
        <v/>
      </c>
      <c r="J168" s="35" t="inlineStr">
        <is>
          <t>Recoge la iteracion 2.10, aplazada a proposito</t>
        </is>
      </c>
    </row>
    <row r="169" ht="15" customHeight="1" s="36">
      <c r="A169" s="57" t="n">
        <v>165</v>
      </c>
      <c r="B169" s="35" t="inlineStr">
        <is>
          <t>Ola 3 - Internacionalizar y endurecer</t>
        </is>
      </c>
      <c r="C169" s="35" t="inlineStr">
        <is>
          <t>F16</t>
        </is>
      </c>
      <c r="D169" s="35" t="inlineStr">
        <is>
          <t>Hardening</t>
        </is>
      </c>
      <c r="E169" s="35" t="inlineStr">
        <is>
          <t>16.5</t>
        </is>
      </c>
      <c r="F169" s="35" t="inlineStr">
        <is>
          <t>Auditoria de accesibilidad</t>
        </is>
      </c>
      <c r="G169" s="35" t="inlineStr">
        <is>
          <t>Pendiente</t>
        </is>
      </c>
      <c r="H169" s="62">
        <f>IFERROR(INDEX(Config!$B$3:$B$8,MATCH($G169,Config!$A$3:$A$8,0)),0)</f>
        <v/>
      </c>
      <c r="I169" s="35">
        <f>IFERROR(INDEX(Config!$C$3:$C$8,MATCH($G169,Config!$A$3:$A$8,0)),0)</f>
        <v/>
      </c>
    </row>
    <row r="170" ht="15" customHeight="1" s="36">
      <c r="A170" s="57" t="n">
        <v>166</v>
      </c>
      <c r="B170" s="35" t="inlineStr">
        <is>
          <t>Ola 3 - Internacionalizar y endurecer</t>
        </is>
      </c>
      <c r="C170" s="35" t="inlineStr">
        <is>
          <t>F16</t>
        </is>
      </c>
      <c r="D170" s="35" t="inlineStr">
        <is>
          <t>Hardening</t>
        </is>
      </c>
      <c r="E170" s="35" t="inlineStr">
        <is>
          <t>16.6</t>
        </is>
      </c>
      <c r="F170" s="35" t="inlineStr">
        <is>
          <t>Revision de deuda tecnica acumulada</t>
        </is>
      </c>
      <c r="G170" s="35" t="inlineStr">
        <is>
          <t>Pendiente</t>
        </is>
      </c>
      <c r="H170" s="62">
        <f>IFERROR(INDEX(Config!$B$3:$B$8,MATCH($G170,Config!$A$3:$A$8,0)),0)</f>
        <v/>
      </c>
      <c r="I170" s="35">
        <f>IFERROR(INDEX(Config!$C$3:$C$8,MATCH($G170,Config!$A$3:$A$8,0)),0)</f>
        <v/>
      </c>
    </row>
    <row r="171" ht="15" customHeight="1" s="36">
      <c r="A171" s="57" t="n">
        <v>167</v>
      </c>
      <c r="B171" s="35" t="inlineStr">
        <is>
          <t>Ola 3 - Internacionalizar y endurecer</t>
        </is>
      </c>
      <c r="C171" s="35" t="inlineStr">
        <is>
          <t>F16</t>
        </is>
      </c>
      <c r="D171" s="35" t="inlineStr">
        <is>
          <t>Hardening</t>
        </is>
      </c>
      <c r="E171" s="35" t="inlineStr">
        <is>
          <t>16.7</t>
        </is>
      </c>
      <c r="F171" s="35" t="inlineStr">
        <is>
          <t>Plan de respuesta a incidentes</t>
        </is>
      </c>
      <c r="G171" s="35" t="inlineStr">
        <is>
          <t>Pendiente</t>
        </is>
      </c>
      <c r="H171" s="62">
        <f>IFERROR(INDEX(Config!$B$3:$B$8,MATCH($G171,Config!$A$3:$A$8,0)),0)</f>
        <v/>
      </c>
      <c r="I171" s="35">
        <f>IFERROR(INDEX(Config!$C$3:$C$8,MATCH($G171,Config!$A$3:$A$8,0)),0)</f>
        <v/>
      </c>
    </row>
    <row r="172" ht="15" customHeight="1" s="36">
      <c r="A172" s="57" t="n">
        <v>168</v>
      </c>
      <c r="B172" s="35" t="inlineStr">
        <is>
          <t>Ola 3 - Internacionalizar y endurecer</t>
        </is>
      </c>
      <c r="C172" s="35" t="inlineStr">
        <is>
          <t>F17</t>
        </is>
      </c>
      <c r="D172" s="35" t="inlineStr">
        <is>
          <t>Produccion</t>
        </is>
      </c>
      <c r="E172" s="35" t="inlineStr">
        <is>
          <t>17.1</t>
        </is>
      </c>
      <c r="F172" s="35" t="inlineStr">
        <is>
          <t>Infraestructura definitiva, SSL, dominios</t>
        </is>
      </c>
      <c r="G172" s="35" t="inlineStr">
        <is>
          <t>Pendiente</t>
        </is>
      </c>
      <c r="H172" s="62">
        <f>IFERROR(INDEX(Config!$B$3:$B$8,MATCH($G172,Config!$A$3:$A$8,0)),0)</f>
        <v/>
      </c>
      <c r="I172" s="35">
        <f>IFERROR(INDEX(Config!$C$3:$C$8,MATCH($G172,Config!$A$3:$A$8,0)),0)</f>
        <v/>
      </c>
    </row>
    <row r="173" ht="15" customHeight="1" s="36">
      <c r="A173" s="57" t="n">
        <v>169</v>
      </c>
      <c r="B173" s="35" t="inlineStr">
        <is>
          <t>Ola 3 - Internacionalizar y endurecer</t>
        </is>
      </c>
      <c r="C173" s="35" t="inlineStr">
        <is>
          <t>F17</t>
        </is>
      </c>
      <c r="D173" s="35" t="inlineStr">
        <is>
          <t>Produccion</t>
        </is>
      </c>
      <c r="E173" s="35" t="inlineStr">
        <is>
          <t>17.2</t>
        </is>
      </c>
      <c r="F173" s="35" t="inlineStr">
        <is>
          <t>Monitoreo, alertas, uptime</t>
        </is>
      </c>
      <c r="G173" s="35" t="inlineStr">
        <is>
          <t>Pendiente</t>
        </is>
      </c>
      <c r="H173" s="62">
        <f>IFERROR(INDEX(Config!$B$3:$B$8,MATCH($G173,Config!$A$3:$A$8,0)),0)</f>
        <v/>
      </c>
      <c r="I173" s="35">
        <f>IFERROR(INDEX(Config!$C$3:$C$8,MATCH($G173,Config!$A$3:$A$8,0)),0)</f>
        <v/>
      </c>
    </row>
    <row r="174" ht="15" customHeight="1" s="36">
      <c r="A174" s="57" t="n">
        <v>170</v>
      </c>
      <c r="B174" s="35" t="inlineStr">
        <is>
          <t>Ola 3 - Internacionalizar y endurecer</t>
        </is>
      </c>
      <c r="C174" s="35" t="inlineStr">
        <is>
          <t>F17</t>
        </is>
      </c>
      <c r="D174" s="35" t="inlineStr">
        <is>
          <t>Produccion</t>
        </is>
      </c>
      <c r="E174" s="35" t="inlineStr">
        <is>
          <t>17.3</t>
        </is>
      </c>
      <c r="F174" s="35" t="inlineStr">
        <is>
          <t>Backups y restauracion probada</t>
        </is>
      </c>
      <c r="G174" s="35" t="inlineStr">
        <is>
          <t>Pendiente</t>
        </is>
      </c>
      <c r="H174" s="62">
        <f>IFERROR(INDEX(Config!$B$3:$B$8,MATCH($G174,Config!$A$3:$A$8,0)),0)</f>
        <v/>
      </c>
      <c r="I174" s="35">
        <f>IFERROR(INDEX(Config!$C$3:$C$8,MATCH($G174,Config!$A$3:$A$8,0)),0)</f>
        <v/>
      </c>
    </row>
    <row r="175" ht="15" customHeight="1" s="36">
      <c r="A175" s="57" t="n">
        <v>171</v>
      </c>
      <c r="B175" s="35" t="inlineStr">
        <is>
          <t>Ola 3 - Internacionalizar y endurecer</t>
        </is>
      </c>
      <c r="C175" s="35" t="inlineStr">
        <is>
          <t>F17</t>
        </is>
      </c>
      <c r="D175" s="35" t="inlineStr">
        <is>
          <t>Produccion</t>
        </is>
      </c>
      <c r="E175" s="35" t="inlineStr">
        <is>
          <t>17.4</t>
        </is>
      </c>
      <c r="F175" s="35" t="inlineStr">
        <is>
          <t>Runbooks operativos</t>
        </is>
      </c>
      <c r="G175" s="35" t="inlineStr">
        <is>
          <t>En curso</t>
        </is>
      </c>
      <c r="H175" s="62">
        <f>IFERROR(INDEX(Config!$B$3:$B$8,MATCH($G175,Config!$A$3:$A$8,0)),0)</f>
        <v/>
      </c>
      <c r="I175" s="35">
        <f>IFERROR(INDEX(Config!$C$3:$C$8,MATCH($G175,Config!$A$3:$A$8,0)),0)</f>
        <v/>
      </c>
      <c r="J175" s="35" t="inlineStr">
        <is>
          <t>Primera version en docs/18-RUNBOOK-DESPLIEGUE.md (2026-08-26): los dos crones, orden de despliegue y comprobaciones. Falta ejecutarlo de verdad y corregirlo con lo que salga (T-35)</t>
        </is>
      </c>
    </row>
    <row r="176" ht="15" customHeight="1" s="36">
      <c r="A176" s="57" t="n">
        <v>172</v>
      </c>
      <c r="B176" s="35" t="inlineStr">
        <is>
          <t>Ola 3 - Internacionalizar y endurecer</t>
        </is>
      </c>
      <c r="C176" s="35" t="inlineStr">
        <is>
          <t>F17</t>
        </is>
      </c>
      <c r="D176" s="35" t="inlineStr">
        <is>
          <t>Produccion</t>
        </is>
      </c>
      <c r="E176" s="35" t="inlineStr">
        <is>
          <t>17.5</t>
        </is>
      </c>
      <c r="F176" s="35" t="inlineStr">
        <is>
          <t>Documentacion final</t>
        </is>
      </c>
      <c r="G176" s="35" t="inlineStr">
        <is>
          <t>Pendiente</t>
        </is>
      </c>
      <c r="H176" s="62">
        <f>IFERROR(INDEX(Config!$B$3:$B$8,MATCH($G176,Config!$A$3:$A$8,0)),0)</f>
        <v/>
      </c>
      <c r="I176" s="35">
        <f>IFERROR(INDEX(Config!$C$3:$C$8,MATCH($G176,Config!$A$3:$A$8,0)),0)</f>
        <v/>
      </c>
    </row>
    <row r="177" ht="15" customHeight="1" s="36">
      <c r="A177" s="57" t="n">
        <v>173</v>
      </c>
      <c r="B177" s="35" t="inlineStr">
        <is>
          <t>Ola 3 - Internacionalizar y endurecer</t>
        </is>
      </c>
      <c r="C177" s="35" t="inlineStr">
        <is>
          <t>F17</t>
        </is>
      </c>
      <c r="D177" s="35" t="inlineStr">
        <is>
          <t>Produccion</t>
        </is>
      </c>
      <c r="E177" s="35" t="inlineStr">
        <is>
          <t>17.6</t>
        </is>
      </c>
      <c r="F177" s="35" t="inlineStr">
        <is>
          <t>Plan de soporte y de despliegue continuo</t>
        </is>
      </c>
      <c r="G177" s="35" t="inlineStr">
        <is>
          <t>Pendiente</t>
        </is>
      </c>
      <c r="H177" s="62">
        <f>IFERROR(INDEX(Config!$B$3:$B$8,MATCH($G177,Config!$A$3:$A$8,0)),0)</f>
        <v/>
      </c>
      <c r="I177" s="35">
        <f>IFERROR(INDEX(Config!$C$3:$C$8,MATCH($G177,Config!$A$3:$A$8,0)),0)</f>
        <v/>
      </c>
    </row>
    <row r="178">
      <c r="A178" s="57" t="inlineStr">
        <is>
          <t>174</t>
        </is>
      </c>
      <c r="B178" s="35" t="inlineStr">
        <is>
          <t>Ola 2 - Escalar comercialmente</t>
        </is>
      </c>
      <c r="C178" s="35" t="inlineStr">
        <is>
          <t>F9</t>
        </is>
      </c>
      <c r="D178" s="35" t="inlineStr">
        <is>
          <t>Finanzas y facturacion</t>
        </is>
      </c>
      <c r="E178" s="35" t="inlineStr">
        <is>
          <t>9.20</t>
        </is>
      </c>
      <c r="F178" s="35" t="inlineStr">
        <is>
          <t>Cada cosa en su sitio: menu por grupos y la configuracion con una sola puerta</t>
        </is>
      </c>
      <c r="G178" s="35" t="inlineStr">
        <is>
          <t>Terminado</t>
        </is>
      </c>
      <c r="H178" s="35">
        <f>IFERROR(INDEX(Config!$B$3:$B$8,MATCH($G178,Config!$A$3:$A$8,0)),0)</f>
        <v/>
      </c>
      <c r="I178" s="35">
        <f>IFERROR(INDEX(Config!$C$3:$C$8,MATCH($G178,Config!$A$3:$A$8,0)),0)</f>
        <v/>
      </c>
      <c r="J178" s="35" t="inlineStr">
        <is>
          <t>2026-08-31. FUERA DEL ALCANCE ORIGINAL, reportado al revisar el sitio. Nueve pantallas estaban dos veces --sueltas en el menu y dentro de /configuracion--, asi que entrar desde el panel dejaba al usuario sin saber donde estaba. Menu en tres grupos y una sola puerta (DEC-233); la portada por bloques con orden fijo (DEC-234); los catalogos pasan a ser un area con portada y aviso (DEC-235). Miga de pan en cada pantalla. Sin migracion y sin mover ninguna ruta. 984 pruebas. docs/fase-9/9.20-CADA-COSA-EN-SU-SITIO.md</t>
        </is>
      </c>
    </row>
    <row r="179">
      <c r="A179" s="57" t="inlineStr">
        <is>
          <t>175</t>
        </is>
      </c>
      <c r="B179" s="35" t="inlineStr">
        <is>
          <t>Ola 2 - Escalar comercialmente</t>
        </is>
      </c>
      <c r="C179" s="35" t="inlineStr">
        <is>
          <t>F9</t>
        </is>
      </c>
      <c r="D179" s="35" t="inlineStr">
        <is>
          <t>Finanzas y facturacion</t>
        </is>
      </c>
      <c r="E179" s="35" t="inlineStr">
        <is>
          <t>9.21a</t>
        </is>
      </c>
      <c r="F179" s="35" t="inlineStr">
        <is>
          <t>La trastienda se muda a /backoffice para dejar libre la calle</t>
        </is>
      </c>
      <c r="G179" s="35" t="inlineStr">
        <is>
          <t>Terminado</t>
        </is>
      </c>
      <c r="H179" s="35">
        <f>IFERROR(INDEX(Config!$B$3:$B$8,MATCH($G179,Config!$A$3:$A$8,0)),0)</f>
        <v/>
      </c>
      <c r="I179" s="35">
        <f>IFERROR(INDEX(Config!$C$3:$C$8,MATCH($G179,Config!$A$3:$A$8,0)),0)</f>
        <v/>
      </c>
      <c r="J179" s="35" t="inlineStr">
        <is>
          <t>2026-08-31. FUERA DEL ALCANCE ORIGINAL. Lo vio el negocio antes de escribir una linea de la landing: /creadores era la lista del admin y tiene que ser la puerta publica de los creadores. 149 rutas se mudan con UNA linea --docs/08 prohibe URLs a mano en las vistas, y esa regla es lo que lo hace gratis (DEC-236)--; 21 se quedan fuera con su motivo, incluidas /contrasena/nueva y /marca/logo, que comparten primer segmento con algo que si se movio (DEC-237). Una prueba recorre todas las rutas con nombre. Las 390 URLs a mano de las pruebas quedan como T-78. 984 pruebas. docs/fase-9/9.21a-LA-TRASTIENDA-SE-MUDA.md</t>
        </is>
      </c>
    </row>
    <row r="180">
      <c r="A180" s="57" t="inlineStr">
        <is>
          <t>176</t>
        </is>
      </c>
      <c r="B180" s="35" t="inlineStr">
        <is>
          <t>Ola 2 - Escalar comercialmente</t>
        </is>
      </c>
      <c r="C180" s="35" t="inlineStr">
        <is>
          <t>F9</t>
        </is>
      </c>
      <c r="D180" s="35" t="inlineStr">
        <is>
          <t>Finanzas y facturacion</t>
        </is>
      </c>
      <c r="E180" s="35" t="inlineStr">
        <is>
          <t>9.21b</t>
        </is>
      </c>
      <c r="F180" s="35" t="inlineStr">
        <is>
          <t>La puerta de la calle: dos portadas publicas con el texto editable y la postulacion</t>
        </is>
      </c>
      <c r="G180" s="35" t="inlineStr">
        <is>
          <t>Terminado</t>
        </is>
      </c>
      <c r="H180" s="35">
        <f>IFERROR(INDEX(Config!$B$3:$B$8,MATCH($G180,Config!$A$3:$A$8,0)),0)</f>
        <v/>
      </c>
      <c r="I180" s="35">
        <f>IFERROR(INDEX(Config!$C$3:$C$8,MATCH($G180,Config!$A$3:$A$8,0)),0)</f>
        <v/>
      </c>
      <c r="J180" s="35" t="inlineStr">
        <is>
          <t>2026-08-31. FUERA DEL ALCANCE ORIGINAL. / habla a las marcas y /creadores a los creadores, enlazadas entre si (DEC-238). El texto es un DATO --titular, bloques, boton y lo que sale en buscadores-- editable desde /backoffice/landing y colgado de la marca (DEC-239). La postulacion publica escribe en creator_applications, que existia desde la Fase 2 con source=landing y sin nadie que escribiera, con throttle y campo trampa en vez de CAPTCHA (DEC-240). Sin portada se va al acceso, no a un 404 (DEC-241). 1001 pruebas; 2182 aserciones SQL en MariaDB y 2172 en MySQL 8. docs/fase-9/9.21b-LA-PUERTA-DE-LA-CALLE.md</t>
        </is>
      </c>
    </row>
    <row r="181">
      <c r="A181" s="57" t="inlineStr">
        <is>
          <t>177</t>
        </is>
      </c>
      <c r="B181" s="35" t="inlineStr">
        <is>
          <t>Ola 2 - Escalar comercialmente</t>
        </is>
      </c>
      <c r="C181" s="35" t="inlineStr">
        <is>
          <t>F9</t>
        </is>
      </c>
      <c r="D181" s="35" t="inlineStr">
        <is>
          <t>Finanzas y facturacion</t>
        </is>
      </c>
      <c r="E181" s="35" t="inlineStr">
        <is>
          <t>9.21c</t>
        </is>
      </c>
      <c r="F181" s="35" t="inlineStr">
        <is>
          <t>El contacto que no se pierde: prospecto de marcas con su bandeja</t>
        </is>
      </c>
      <c r="G181" s="35" t="inlineStr">
        <is>
          <t>Terminado</t>
        </is>
      </c>
      <c r="H181" s="35">
        <f>IFERROR(INDEX(Config!$B$3:$B$8,MATCH($G181,Config!$A$3:$A$8,0)),0)</f>
        <v/>
      </c>
      <c r="I181" s="35">
        <f>IFERROR(INDEX(Config!$C$3:$C$8,MATCH($G181,Config!$A$3:$A$8,0)),0)</f>
        <v/>
      </c>
      <c r="J181" s="35" t="inlineStr">
        <is>
          <t>2026-08-31. FUERA DEL ALCANCE ORIGINAL. El formulario de la portada de marcas crea una FILA y no un correo: hoy el correo esta en «log» y una instalacion con el SMTP a medio configurar perderia cada contacto sin que nadie se entere (DEC-242). Misma forma que creator_applications, con columna puerta para que solo lo abierto ocupe sitio (DEC-243). Descartar exige motivo y no borra; convertir exige decir en que cliente (DEC-244). Una asercion pasaba por casualidad y los dos motores la delataron. 1014 pruebas; 2208 aserciones SQL en MariaDB y 2197 en MySQL 8. docs/fase-9/9.21c-EL-PROSPECTO.md</t>
        </is>
      </c>
    </row>
    <row r="182">
      <c r="A182" s="57" t="inlineStr">
        <is>
          <t>178</t>
        </is>
      </c>
      <c r="B182" s="35" t="inlineStr">
        <is>
          <t>Ola 2 - Escalar comercialmente</t>
        </is>
      </c>
      <c r="C182" s="35" t="inlineStr">
        <is>
          <t>F9</t>
        </is>
      </c>
      <c r="D182" s="35" t="inlineStr">
        <is>
          <t>Finanzas y facturacion</t>
        </is>
      </c>
      <c r="E182" s="35" t="inlineStr">
        <is>
          <t>9.9a</t>
        </is>
      </c>
      <c r="F182" s="35" t="inlineStr">
        <is>
          <t>El impuesto es un dato: tasas con vigencia por pais</t>
        </is>
      </c>
      <c r="G182" s="35" t="inlineStr">
        <is>
          <t>Terminado</t>
        </is>
      </c>
      <c r="H182" s="35">
        <f>IFERROR(INDEX(Config!$B$3:$B$8,MATCH($G182,Config!$A$3:$A$8,0)),0)</f>
        <v/>
      </c>
      <c r="I182" s="35">
        <f>IFERROR(INDEX(Config!$C$3:$C$8,MATCH($G182,Config!$A$3:$A$8,0)),0)</f>
        <v/>
      </c>
      <c r="J182" s="35" t="inlineStr">
        <is>
          <t>2026-08-31. invoices existe desde la Fase 2 con tax_amount y con la aritmetica comprobada, pero la TASA no existia en ninguna parte: nadie sabia que el IGV es 18 %. Es un PERIODO con no solape porque las tasas cambian y las facturas de antes no (DEC-245); se pregunta siempre por la fecha del documento y no se corrige --se publica la siguiente cerrando la anterior el dia antes (DEC-246)--. Solo se siembra el IGV peruano y desde el arranque (DEC-247). 1026 pruebas; 2232 aserciones SQL en MariaDB y 2222 en MySQL 8. Novena vez que se usa Periodo y la primera sin haber tenido que descubrir el defecto antes. docs/fase-9/9.9a-EL-IMPUESTO-ES-UN-DATO.md</t>
        </is>
      </c>
    </row>
    <row r="183">
      <c r="A183" s="57" t="inlineStr">
        <is>
          <t>179</t>
        </is>
      </c>
      <c r="B183" s="35" t="inlineStr">
        <is>
          <t>Ola 2 - Escalar comercialmente</t>
        </is>
      </c>
      <c r="C183" s="35" t="inlineStr">
        <is>
          <t>F9</t>
        </is>
      </c>
      <c r="D183" s="35" t="inlineStr">
        <is>
          <t>Finanzas y facturacion</t>
        </is>
      </c>
      <c r="E183" s="35" t="inlineStr">
        <is>
          <t>9.9b</t>
        </is>
      </c>
      <c r="F183" s="35" t="inlineStr">
        <is>
          <t>La factura que sale de una campana: borrador, emision con correlativo y anulacion</t>
        </is>
      </c>
      <c r="G183" s="35" t="inlineStr">
        <is>
          <t>Terminado</t>
        </is>
      </c>
      <c r="H183" s="35">
        <f>IFERROR(INDEX(Config!$B$3:$B$8,MATCH($G183,Config!$A$3:$A$8,0)),0)</f>
        <v/>
      </c>
      <c r="I183" s="35">
        <f>IFERROR(INDEX(Config!$C$3:$C$8,MATCH($G183,Config!$A$3:$A$8,0)),0)</f>
        <v/>
      </c>
      <c r="J183" s="35" t="inlineStr">
        <is>
          <t>2026-09-01. invoices e invoice_lines llevaban desde la Fase 2 con la mesa puesta y sin nadie que escribiera; al abrir la puerta salieron CINCO defectos que solo se ven emitiendo de verdad. Un borrador ya no gasta correlativo --el numero se pide al emitir, asi que descartarlo no deja hueco ante SUNAT (DEC-248)--. ck_invoice_regime_country tenia PE escrito dentro: se congela ahora el pais del emisor y la regla de DEC-047 se escribe sin nombrar ningun pais, igual que el codigo del impuesto, que pasa a countries.sales_tax_code (DEC-249). invoices no tenia disparador de inmutabilidad aunque ledger_entries si: ahora el nucleo fiscal se congela al emitir y la base comprueba que las lineas sumen la cabecera (DEC-250). Se congelan la tasa y su porcentaje; anular exige motivo y el numero no vuelve a la serie (DEC-251). 1041 pruebas / 3695 aserciones; 2286 aserciones SQL en MariaDB y 2276 en MySQL 8. El trinquete de cobertura SQL baja de 145 a 140. Queda T-79. docs/fase-9/9.9b-LA-FACTURA.md HOTFIX el mismo dia (T-80): entrar terminaba en 404 porque intended() obedecia a una direccion guardada antes de la mudanza a /backoffice; ahora tiene que ser del propio dominio y seguir resolviendo.</t>
        </is>
      </c>
    </row>
    <row r="184">
      <c r="A184" s="57" t="inlineStr">
        <is>
          <t>180</t>
        </is>
      </c>
      <c r="B184" s="35" t="inlineStr">
        <is>
          <t>Ola 2 - Escalar comercialmente</t>
        </is>
      </c>
      <c r="C184" s="35" t="inlineStr">
        <is>
          <t>F9</t>
        </is>
      </c>
      <c r="D184" s="35" t="inlineStr">
        <is>
          <t>Finanzas y facturacion</t>
        </is>
      </c>
      <c r="E184" s="35" t="inlineStr">
        <is>
          <t>9.9c</t>
        </is>
      </c>
      <c r="F184" s="35" t="inlineStr">
        <is>
          <t>El certificado con el que firma cada sociedad</t>
        </is>
      </c>
      <c r="G184" s="35" t="inlineStr">
        <is>
          <t>Terminado</t>
        </is>
      </c>
      <c r="H184" s="35">
        <f>IFERROR(INDEX(Config!$B$3:$B$8,MATCH($G184,Config!$A$3:$A$8,0)),0)</f>
        <v/>
      </c>
      <c r="I184" s="35">
        <f>IFERROR(INDEX(Config!$C$3:$C$8,MATCH($G184,Config!$A$3:$A$8,0)),0)</f>
        <v/>
      </c>
      <c r="J184" s="35" t="inlineStr">
        <is>
          <t>2026-09-01. La bifurcacion se puso sobre la mesa ANTES de escribir codigo --PSE/OSE o emision propia-- y el negocio eligio Greenter con certificado propio de SUNAT y usuario secundario SOL (DEC-252); Greenter ira detras de una frontera en 9.9d, porque es peruano y esto es para seis paises. El certificado NO cabe en integration_credentials: es la identidad de la sociedad, no la credencial de una conexion, y tiene vigencia propia escrita dentro del archivo. Se normaliza a PEM, se cifra, el archivo no toca el disco y LA CONTRASENA DEL .pfx NO SE GUARDA (DEC-253). Columna puerta 34: uno solo en uso por sociedad y entorno. El hallazgo que le pasara a quien despliegue: OpenSSL 3 NO abre los .pfx de SUNAT --cifrado antiguo-- y el error se parece a una contrasena equivocada, asi que el mensaje trae la orden literal para convertirlo (DEC-254). El RUC ajeno avisa en rojo y no bloquea (Q-66, §56). De propina T-82: ck_cert_revocado dejaba revocar SIN motivo --CHAR_LENGTH(TRIM(NULL)) es NULL y un CHECK solo rechaza cuando es FALSO-- por CUARTA vez en el proyecto, asi que ahora hay un verificador (tools/verificar-nulos.py) que lo caza. 1067 pruebas / 3783 aserciones; 2328 aserciones SQL en MariaDB. docs/fase-9/9.9c-EL-CERTIFICADO.md</t>
        </is>
      </c>
    </row>
    <row r="185">
      <c r="A185" s="57" t="inlineStr">
        <is>
          <t>181</t>
        </is>
      </c>
      <c r="B185" s="35" t="inlineStr">
        <is>
          <t>Ola 2 - Escalar comercialmente</t>
        </is>
      </c>
      <c r="C185" s="35" t="inlineStr">
        <is>
          <t>F9</t>
        </is>
      </c>
      <c r="D185" s="35" t="inlineStr">
        <is>
          <t>Finanzas y facturacion</t>
        </is>
      </c>
      <c r="E185" s="35" t="inlineStr">
        <is>
          <t>9.17e</t>
        </is>
      </c>
      <c r="F185" s="35" t="inlineStr">
        <is>
          <t>La direccion de un proveedor no se teclea</t>
        </is>
      </c>
      <c r="G185" s="35" t="inlineStr">
        <is>
          <t>Terminado</t>
        </is>
      </c>
      <c r="H185" s="35">
        <f>IFERROR(INDEX(Config!$B$3:$B$8,MATCH($G185,Config!$A$3:$A$8,0)),0)</f>
        <v/>
      </c>
      <c r="I185" s="35">
        <f>IFERROR(INDEX(Config!$C$3:$C$8,MATCH($G185,Config!$A$3:$A$8,0)),0)</f>
        <v/>
      </c>
      <c r="J185" s="35" t="inlineStr">
        <is>
          <t>2026-09-01. Reportado desde la instalacion: «.por que me pide la URL? si selecciono Pruebas debe ir al URL Beta, si selecciono PRD al de PRD». Tenia razon y era un defecto de 9.17d: los extremos de SUNAT son FIJOS y PUBLICOS --no son un dato de esta instalacion-- y pedirselos a una persona es pedirle que teclee una constante; un caracter de mas produce comprobantes que no llegan con un error de red que no dice que paso. Es DEC-190 DEL REVES: alli el problema era quemar en el codigo lo que es de cada instalacion, aqui era pedirle a cada instalacion lo que es del proveedor (DEC-255). integration_provider_endpoints los declara por (proveedor, entorno), sembrados y verificados contra thegreenter/ws; la columna de la conexion se queda como excepcion --vacia = la del proveedor-- y la pantalla ensena cual se USA y de donde sale. ck_iconn_url pasa a disparador porque la pregunta es cruzada, y de paso exige lo que faltaba: un emisor electronico va con una SOCIEDAD, porque lleva su RUC (DEC-256). Las otras dos preguntas del mismo formulario contestadas donde se hacen: la contrasena va en la ficha de la conexion y el certificado en /backoffice/certificados, con enlace --la caja de ayuda decia que no estaba y mentia desde 9.9c--. 2350 aserciones SQL en MariaDB. docs/fase-9/9.17e-LA-URL-NO-SE-TECLEA.md</t>
        </is>
      </c>
    </row>
    <row r="186" s="36">
      <c r="A186" s="57" t="inlineStr">
        <is>
          <t>182</t>
        </is>
      </c>
      <c r="B186" s="35" t="inlineStr">
        <is>
          <t>Ola 2 - Escalar comercialmente</t>
        </is>
      </c>
      <c r="C186" s="35" t="inlineStr">
        <is>
          <t>F9</t>
        </is>
      </c>
      <c r="D186" s="35" t="inlineStr">
        <is>
          <t>Finanzas y facturacion</t>
        </is>
      </c>
      <c r="E186" s="35" t="inlineStr">
        <is>
          <t>9.17f</t>
        </is>
      </c>
      <c r="F186" s="35" t="inlineStr">
        <is>
          <t>Integraciones por pestanas, y una activa por proposito</t>
        </is>
      </c>
      <c r="G186" s="35" t="inlineStr">
        <is>
          <t>Terminado</t>
        </is>
      </c>
      <c r="H186" s="35">
        <f>IFERROR(INDEX(Config!$B$3:$B$8,MATCH($G186,Config!$A$3:$A$8,0)),0)</f>
        <v/>
      </c>
      <c r="I186" s="35">
        <f>IFERROR(INDEX(Config!$C$3:$C$8,MATCH($G186,Config!$A$3:$A$8,0)),0)</f>
        <v/>
      </c>
      <c r="J186" s="35" t="inlineStr">
        <is>
          <t>2026-09-01. Critica del negocio a mi diseno, y al comprobarla tenia MAS razon de la que creia: SMTP vive en .env y Decolecta en fx_sources, asi que el unico inquilino real de integration_connections era SUNAT y el desplegable ofrecia crear conexiones que nadie lee --el defecto contra el que yo mismo escribi DEC-224 una iteracion antes-- (DEC-257). Encontro ademas un agujero real: la puerta era por PROVEEDOR, asi que dos emisores electronicos podian estar activos a la vez y nadie sabria cual emite; ahora es por PROPOSITO, con purpose_snapshot para que la garantia sea un indice unico y no un COUNT(*) sin bloqueo (DEC-258). La pestana de facturacion junta las tres cosas de emitir --conexion, certificado y folios-- sin duplicar plantilla: las pantallas sueltas redirigen, y sus avisos los suma el area de Integraciones con dos pruebas que lo afirman (DEC-259). 1075 pruebas; 2356 aserciones SQL en MariaDB. Quedan 9.17g (el correo a la base) y 9.17h (los tipos de cambio). docs/fase-9/9.17f-INTEGRACIONES-POR-PESTANAS.md</t>
        </is>
      </c>
    </row>
    <row r="187" s="36">
      <c r="A187" s="57" t="inlineStr">
        <is>
          <t>183</t>
        </is>
      </c>
      <c r="B187" s="35" t="inlineStr">
        <is>
          <t>Ola 2 - Escalar comercialmente</t>
        </is>
      </c>
      <c r="C187" s="35" t="inlineStr">
        <is>
          <t>F9</t>
        </is>
      </c>
      <c r="D187" s="35" t="inlineStr">
        <is>
          <t>Finanzas y facturacion</t>
        </is>
      </c>
      <c r="E187" s="35" t="inlineStr">
        <is>
          <t>9.17g</t>
        </is>
      </c>
      <c r="F187" s="35" t="inlineStr">
        <is>
          <t>La cuenta de correo deja de vivir en el servidor</t>
        </is>
      </c>
      <c r="G187" s="35" t="inlineStr">
        <is>
          <t>Terminado</t>
        </is>
      </c>
      <c r="H187" s="35">
        <f>IFERROR(INDEX(Config!$B$3:$B$8,MATCH($G187,Config!$A$3:$A$8,0)),0)</f>
        <v/>
      </c>
      <c r="I187" s="35">
        <f>IFERROR(INDEX(Config!$C$3:$C$8,MATCH($G187,Config!$A$3:$A$8,0)),0)</f>
        <v/>
      </c>
      <c r="J187" s="35" t="inlineStr">
        <is>
          <t>2026-09-01. La primera de las tres que el negocio pidio mover a la base. El servidor de correo era el UNICO ajuste del sistema que obligaba a entrar a la maquina y editar .env, y el que mas caro sale tener mal: con el transporte en «log» no sale ni un correo --ni el enlace de alta de un creador-- y el sistema no da ningun error. mail_settings cuelga de integration_connections, que ya sabe cifrar y ROTAR un secreto; manda la cuenta activa y si no la hay manda el .env, sin mezcla, y la pantalla dice cual esta en efecto (DEC-260). Al guardar la primera cuenta salio un defecto de 9.17e: la regla «tiene una URL https://» estaba escrita mirando solo a SUNAT y un servidor SMTP no tiene URL, asi que una cuenta de correo no se podia activar; se parte en «tiene alguna direccion» y «si es web, cifrada» (DEC-261). Deptrac impidio el atajo --Core no puede depender de Communication-- y de ahi sale App\Shared\Config\Pestanas: cada modulo REGISTRA su pestana, el mismo patron que Preparacion usa para las areas. Eso contesta en su forma general la critica que abrio 9.17f: una integracion nueva con parametros propios es una llamada a registrar() desde su modulo, no un if mas en un controlador ajeno. 1089 pruebas / 3854 aserciones; 2378 aserciones SQL en MariaDB y 2368 en MySQL 8. Queda 9.17h, la fuente de tipos de cambio y su clave, ultima de las tres. docs/fase-9/9.17g-LA-CUENTA-DE-CORREO.md</t>
        </is>
      </c>
    </row>
    <row r="188" s="36">
      <c r="A188" s="57" t="inlineStr">
        <is>
          <t>184</t>
        </is>
      </c>
      <c r="B188" s="35" t="inlineStr">
        <is>
          <t>Ola 2 - Escalar comercialmente</t>
        </is>
      </c>
      <c r="C188" s="35" t="inlineStr">
        <is>
          <t>F9</t>
        </is>
      </c>
      <c r="D188" s="35" t="inlineStr">
        <is>
          <t>Finanzas y facturacion</t>
        </is>
      </c>
      <c r="E188" s="35" t="inlineStr">
        <is>
          <t>9.17i</t>
        </is>
      </c>
      <c r="F188" s="35" t="inlineStr">
        <is>
          <t>La cara de las integraciones: una tarjeta comun para las tres pestanas</t>
        </is>
      </c>
      <c r="G188" s="35" t="inlineStr">
        <is>
          <t>Terminado</t>
        </is>
      </c>
      <c r="H188" s="35">
        <f>IFERROR(INDEX(Config!$B$3:$B$8,MATCH($G188,Config!$A$3:$A$8,0)),0)</f>
        <v/>
      </c>
      <c r="I188" s="35">
        <f>IFERROR(INDEX(Config!$C$3:$C$8,MATCH($G188,Config!$A$3:$A$8,0)),0)</f>
        <v/>
      </c>
      <c r="J188" s="35" t="inlineStr">
        <is>
          <t>2026-09-01. Critica del negocio con la pantalla de otro producto suyo delante: «esta pantalla no se compara a la que me hiciste para LOTEALO, esperaba algo asi». Tenia razon y lo que faltaba se enumera sin discutir de gustos: no decia que hace cada integracion ni que pasa si no se activa --solo regañaba en rojo--, no tenia chapa de estado ni forma de apagar, no llevaba a donde conseguir lo que pide, y el mismo aviso salia DOS VECES sin decir a cual se referia. Una sola plantilla de tarjeta para las cinco integraciones, con los avisos y las chapas repartidos por el CONTROLADOR porque afirmar que algo esta activo no es maquetacion (DEC-262). El interruptor, porque 9.17g guardaba y activaba en el mismo gesto y no dejaba camino de vuelta al .env; apagar no borra, y de paso salio que guardar() con la cuenta apagada habria dejado una conexion huerfana por guardado (DEC-263). Y el aviso del puerto cruzado con el cifrado --SSL con 587-- que no conecta y solo devuelve una espera agotada (DEC-264). EL HALLAZGO GRANDE SALIO DE COMPILAR TAILWIND Y MIRAR LA PANTALLA, no de las pruebas: Tailwind 4 pone border 0 a todos los elementos, input y select incluidos, y el proyecto no usa @tailwindcss/forms, asi que border-slate-300 solo decia de que color seria el borde y no se pintaba ninguno. 130 controles en 20 plantillas sin borde visible desde siempre, incluidas la pantalla de acceso y las dos portadas publicas (T-86). Ninguna prueba lo habria encontrado: una prueba que pasa dice que la pantalla responde, no que se vea. 1092 pruebas / 3875 aserciones; seis puertas en verde. Quedan T-83, T-84 y 9.17h. docs/fase-9/9.17i-LA-CARA-DE-LAS-INTEGRACIONES.md</t>
        </is>
      </c>
    </row>
    <row r="189" s="36">
      <c r="A189" s="57" t="inlineStr">
        <is>
          <t>185</t>
        </is>
      </c>
      <c r="B189" s="35" t="inlineStr">
        <is>
          <t>Ola 2 - Escalar comercialmente</t>
        </is>
      </c>
      <c r="C189" s="35" t="inlineStr">
        <is>
          <t>F9</t>
        </is>
      </c>
      <c r="D189" s="35" t="inlineStr">
        <is>
          <t>Finanzas y facturacion</t>
        </is>
      </c>
      <c r="E189" s="35" t="inlineStr">
        <is>
          <t>9.17h</t>
        </is>
      </c>
      <c r="F189" s="35" t="inlineStr">
        <is>
          <t>La fuente de tipos de cambio deja de tener caja fuerte propia</t>
        </is>
      </c>
      <c r="G189" s="35" t="inlineStr">
        <is>
          <t>Terminado</t>
        </is>
      </c>
      <c r="H189" s="35">
        <f>IFERROR(INDEX(Config!$B$3:$B$8,MATCH($G189,Config!$A$3:$A$8,0)),0)</f>
        <v/>
      </c>
      <c r="I189" s="35">
        <f>IFERROR(INDEX(Config!$C$3:$C$8,MATCH($G189,Config!$A$3:$A$8,0)),0)</f>
        <v/>
      </c>
      <c r="J189" s="35" t="inlineStr">
        <is>
          <t>2026-09-01. La ULTIMA de las tres que el negocio pidio mover a la base: con ella ningun ajuste del sistema exige ya entrar a la maquina. Lo que mas se penso fue que NO se mueve: a la pestana va la integracion --con quien se habla, a donde y con que clave-- y se quedan en su pantalla las tasas, que fuente manda para cada par, el registro de traidas y la carga a mano, con un enlace en cada direccion (DEC-265). fx_sources tenia CUATRO COLUMNAS DE CREDENCIAL PROPIAS, mas pobres que integration_credentials: no versionaban, no revocaban, y guardar una clave nueva era un UPDATE que borraba quien habia puesto la anterior y hasta cuando estuvo en uso (DEC-266). El criptograma se copia tal cual porque las dos cajas usan Crypt, asi que la migracion NO DESCIFRA NADA. Y el disparador tg_fxs_credencial_firmada desaparece sin perder su regla: en la tabla nueva set_by_user_id y set_at son NOT NULL. Salieron ademas dos defectos de los de T-69: la direccion de Decolecta estaba en una CONSTANTE DE PHP y ademas en una columna que se podia teclear --DEC-255 por segunda vez en tres iteraciones-- y la precedencia era la CONTRARIA a la del correo en la misma pantalla, que es como se produce un «cambie la clave y no paso nada» (DEC-267). 1096 pruebas / 3892 aserciones; 2392 aserciones SQL en MariaDB y 2382 en MySQL 8; seis puertas en verde. La pantalla se renderizo y se miro. Quedan T-83 y T-84. docs/fase-9/9.17h-LOS-TIPOS-DE-CAMBIO.md</t>
        </is>
      </c>
    </row>
    <row r="190" s="36">
      <c r="A190" s="57" t="inlineStr">
        <is>
          <t>186</t>
        </is>
      </c>
      <c r="B190" s="35" t="inlineStr">
        <is>
          <t>Ola 2 - Escalar comercialmente</t>
        </is>
      </c>
      <c r="C190" s="35" t="inlineStr">
        <is>
          <t>F9</t>
        </is>
      </c>
      <c r="D190" s="35" t="inlineStr">
        <is>
          <t>Finanzas y facturacion</t>
        </is>
      </c>
      <c r="E190" s="35" t="inlineStr">
        <is>
          <t>9.17j</t>
        </is>
      </c>
      <c r="F190" s="35" t="inlineStr">
        <is>
          <t>El sistema se entera de que le falta migrar</t>
        </is>
      </c>
      <c r="G190" s="35" t="inlineStr">
        <is>
          <t>Terminado</t>
        </is>
      </c>
      <c r="H190" s="35">
        <f>IFERROR(INDEX(Config!$B$3:$B$8,MATCH($G190,Config!$A$3:$A$8,0)),0)</f>
        <v/>
      </c>
      <c r="I190" s="35">
        <f>IFERROR(INDEX(Config!$C$3:$C$8,MATCH($G190,Config!$A$3:$A$8,0)),0)</f>
        <v/>
      </c>
      <c r="J190" s="35" t="inlineStr">
        <is>
          <t>2026-09-01. De una manana perdida en esta misma sesion: codigo de 9.17g desplegado sin migrate, y un SQLSTATE en crudo con el mensaje de la regla anterior, que se llama igual y dice lo mismo que la nueva; para saber cual estaba instalada hubo que comparar las condiciones de las dos versiones. T-83 ESTABA MAL APUNTADO POR MI Y MEDIRLO LO DEMOSTRO: de 430 mensajes distintos solo uno se repite, y es la misma regla con dos puertas. Lo que confundia eran dos VERSIONES de una regla, indistinguibles sobre un solo esquema; ningun verificador de mensajes puede verlo. App\Shared\Config\Esquema compara los archivos de migracion con la tabla migrations en las dos direcciones --lo que falta por aplicar, y lo aplicado que ya no esta en el codigo-- y avisa en TODAS las pantallas del panel, con la primera que falta y la orden exacta. No es un area de configuracion porque con el esquema atrasado puede reventar cualquier pantalla y no se arregla desde ninguna; lo pone un compositor de vista y no cada controlador, porque son 199 rutas y la que se olvidara seria justo la que reventara. No se cachea (DEC-268). De T-83 sobrevive lo poco que valia: verificar-mensajes.py caza el mismo texto en dos tablas distintas, sin lista de excepciones porque entre tablas no hay razon legitima; hoy da cero, y se dice que es un trinquete y no un hallazgo. Y una erratа la encontro MIRAR LA PANTALLA y no una prueba: el aviso decia «2 migraciónes» --el plural pierde la tilde--. Ahora hay una asercion que lo afirma. 1101 pruebas / 3917 aserciones; 2392 aserciones SQL en MariaDB y 2382 en MySQL 8; seis puertas en verde. docs/fase-9/9.17j-EL-SISTEMA-SABE-QUE-LE-FALTA-MIGRAR.md</t>
        </is>
      </c>
    </row>
    <row r="191" s="36">
      <c r="A191" s="57" t="inlineStr">
        <is>
          <t>187</t>
        </is>
      </c>
      <c r="B191" s="35" t="inlineStr">
        <is>
          <t>Ola 2 - Escalar comercialmente</t>
        </is>
      </c>
      <c r="C191" s="35" t="inlineStr">
        <is>
          <t>F9</t>
        </is>
      </c>
      <c r="D191" s="35" t="inlineStr">
        <is>
          <t>Finanzas y facturacion</t>
        </is>
      </c>
      <c r="E191" s="35" t="inlineStr">
        <is>
          <t>9.9d</t>
        </is>
      </c>
      <c r="F191" s="35" t="inlineStr">
        <is>
          <t>El XML firmado del comprobante, detras de una frontera</t>
        </is>
      </c>
      <c r="G191" s="35" t="inlineStr">
        <is>
          <t>Terminado</t>
        </is>
      </c>
      <c r="H191" s="35">
        <f>IFERROR(INDEX(Config!$B$3:$B$8,MATCH($G191,Config!$A$3:$A$8,0)),0)</f>
        <v/>
      </c>
      <c r="I191" s="35">
        <f>IFERROR(INDEX(Config!$C$3:$C$8,MATCH($G191,Config!$A$3:$A$8,0)),0)</f>
        <v/>
      </c>
      <c r="J191" s="35" t="inlineStr">
        <is>
          <t>2026-09-02. DEC-252 prometio que Greenter no se veria desde fuera; ahora ES UNA PUERTA: capa propia en Deptrac --no dentro de Framework, que aparece en todas-- permitida solo a Finance/Emision/Peru/, y comprobada metiendo un use Greenter prohibido para ver que Deptrac lo rechaza y volviendo a verde al quitarlo (DEC-269). Sale un UBL 2.1 firmado de verdad, con su leyenda del importe en letras. GENERAR DE VERDAD DESTAPO TRES COSAS QUE NINGUNA PRUEBA DE UNIDAD HABRIA VISTO: 1) la fecha del comprobante se iba UN DIA ATRAS --issue_date es «el dia en la zona de la sociedad» (2.3 §8) y construirla en UTC hacia que Greenter la escribiera como 2026-08-31T19:00 para una factura del 1 de septiembre--; 2) Greenter\See crea un SoapClient en su constructor, asi que usarla para ARMAR obligaria a tener ext-soap en toda maquina, y se usan las tres piezas sueltas --ext-soap pasa a ser requisito de 9.9e--; 3) la firma va en SHA-1 porque SUNAT LO EXIGE, no por descuido de la libreria, y queda escrito para que nadie lo lea en seis meses y crea que es un olvido. El XML vive EN LA BASE y no en files: es la prueba, no un archivo, y una instalacion sin disco configurado tiene que poder emitir bien (DEC-270). Columna puerta 35: uno vigente por factura y clase, el reemplazado no se borra, y antes de entregarlo se recalcula la huella por si alguien lo toco por debajo de los disparadores (DEC-271). El importe en letras va en Shared y no en el adaptador: no es peruano. De propina, una prueba de 9.16 se puso roja al correr los ids: afirmaba assertDontSee sobre un id autonumerico, y con «96» aparecia en cualquier fecha de la pagina. No habia fuga: el aserto afirmaba una coincidencia. Se sustituye por el importe en sus dos formatos, con el motivo escrito. 1131 pruebas / 3976 aserciones; 2428 aserciones SQL en MariaDB y 2418 en MySQL 8; seis puertas en verde. Quedan Q-67 --la exportacion, sin revisar por un contador (§56)-- y T-87. docs/fase-9/9.9d-EL-XML-FIRMADO.md</t>
        </is>
      </c>
    </row>
    <row r="192">
      <c r="A192" s="57" t="inlineStr">
        <is>
          <t>188</t>
        </is>
      </c>
      <c r="B192" s="35" t="inlineStr">
        <is>
          <t>Ola 2 - Escalar comercialmente</t>
        </is>
      </c>
      <c r="C192" s="35" t="inlineStr">
        <is>
          <t>F9</t>
        </is>
      </c>
      <c r="D192" s="35" t="inlineStr">
        <is>
          <t>Finanzas y facturacion</t>
        </is>
      </c>
      <c r="E192" s="35" t="inlineStr">
        <is>
          <t>9.9f</t>
        </is>
      </c>
      <c r="F192" s="35" t="inlineStr">
        <is>
          <t>La factura congela su localidad y deja de suponer Peru</t>
        </is>
      </c>
      <c r="G192" s="35" t="inlineStr">
        <is>
          <t>Terminado</t>
        </is>
      </c>
      <c r="H192" s="35">
        <f>IFERROR(INDEX(Config!$B$3:$B$8,MATCH($G192,Config!$A$3:$A$8,0)),0)</f>
        <v/>
      </c>
      <c r="I192" s="35">
        <f>IFERROR(INDEX(Config!$C$3:$C$8,MATCH($G192,Config!$A$3:$A$8,0)),0)</f>
        <v/>
      </c>
      <c r="J192" s="35" t="inlineStr">
        <is>
          <t>2026-09-02. Cierra T-87 y T-79, las dos deudas que 9.9d dejo a la vista: leer una factura con intencion de defenderla delante de una administracion es lo que enseNa que le falta. T-87: el ubigeo, el distrito, la provincia y el codigo de establecimiento NO estaban congelados aunque el comprobante los lleva dentro. Mudar la sociedad habria hecho que el XML regenerado de una factura vieja fuese DISTINTO del que se emitio, y los dos van firmados, luego no pueden ser los dos validos para lo mismo (DEC-273). Hay una prueba que muda la sociedad de Miraflores a Arequipa y comprueba que el XML regenerado sigue diciendo Miraflores. T-79: los cuatro tipos peruanos salian de un CHECK; ahora la regla pregunta al catalogo del pais del emisor, con disparador y no con foranea porque la pregunta es cruzada y una foranea obligaria a cambiar uq_invoice_number (DEC-274). DOS COSAS QUE ENCONTRO ESCRIBIR LAS PRUEBAS: mi cambio de la localidad habia caido solo en borrador() y no en emitir() --las dos llamadas se parecen tanto que la sustitucion acerto en la primera--, asi que una mudanza entre borrador y emision se habria perdido en silencio; y la primera asercion de T-79 pasaba POR EL MOTIVO EQUIVOCADO --la rechazaba «una factura sin lineas», no la regla que se estaba afirmando--, tercera vez que aparece ese patron en el proyecto. 1133 pruebas / 3985 aserciones; 2438 aserciones SQL en MariaDB y 2428 en MySQL 8; seis puertas en verde. 9.9e queda PARADO a peticion del negocio hasta poder estrenarlo. docs/fase-9/9.9f-LA-FACTURA-NO-SUPONE-PERU.md</t>
        </is>
      </c>
    </row>
  </sheetData>
  <autoFilter ref="A1:J174"/>
  <conditionalFormatting sqref="G2:G169">
    <cfRule type="cellIs" rank="0" priority="2" equalAverage="0" operator="equal" aboveAverage="0" dxfId="12" text="" percent="0" bottom="0">
      <formula>"Terminado"</formula>
    </cfRule>
    <cfRule type="cellIs" rank="0" priority="3" equalAverage="0" operator="equal" aboveAverage="0" dxfId="13" text="" percent="0" bottom="0">
      <formula>"En curso"</formula>
    </cfRule>
    <cfRule type="cellIs" rank="0" priority="4" equalAverage="0" operator="equal" aboveAverage="0" dxfId="14" text="" percent="0" bottom="0">
      <formula>"Pendiente"</formula>
    </cfRule>
    <cfRule type="cellIs" rank="0" priority="5" equalAverage="0" operator="equal" aboveAverage="0" dxfId="15" text="" percent="0" bottom="0">
      <formula>"Bloqueado"</formula>
    </cfRule>
    <cfRule type="cellIs" rank="0" priority="6" equalAverage="0" operator="equal" aboveAverage="0" dxfId="16" text="" percent="0" bottom="0">
      <formula>"Aplazado"</formula>
    </cfRule>
    <cfRule type="cellIs" rank="0" priority="7" equalAverage="0" operator="equal" aboveAverage="0" dxfId="17" text="" percent="0" bottom="0">
      <formula>"No aplica"</formula>
    </cfRule>
  </conditionalFormatting>
  <dataValidations count="1">
    <dataValidation sqref="G2:G169" showDropDown="0" showInputMessage="0" showErrorMessage="0" allowBlank="0" type="list" errorStyle="stop" operator="between">
      <formula1>Config!$A$3:$A$8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76"/>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Tareas técnicas y de gestión (T-XX). Nacen cuando algo se descubre roto o a medias y no se puede arreglar en el momento. Fuente: docs/05-DECISION-LOG.md. Las abiertas van arriba.</t>
        </is>
      </c>
    </row>
    <row r="2" ht="24" customHeight="1" s="36">
      <c r="A2" s="64" t="inlineStr">
        <is>
          <t>ID</t>
        </is>
      </c>
      <c r="B2" s="64" t="inlineStr">
        <is>
          <t>Estado</t>
        </is>
      </c>
      <c r="C2" s="64" t="inlineStr">
        <is>
          <t>Prioridad</t>
        </is>
      </c>
      <c r="D2" s="64" t="inlineStr">
        <is>
          <t>Que hay que hacer</t>
        </is>
      </c>
      <c r="E2" s="64" t="inlineStr">
        <is>
          <t>Cuando hace falta</t>
        </is>
      </c>
      <c r="F2" s="64" t="inlineStr">
        <is>
          <t>Quien la desbloquea</t>
        </is>
      </c>
      <c r="G2" s="64" t="inlineStr">
        <is>
          <t>Detalle</t>
        </is>
      </c>
    </row>
    <row r="3" ht="68.25" customHeight="1" s="36">
      <c r="A3" s="67" t="inlineStr">
        <is>
          <t>T-09</t>
        </is>
      </c>
      <c r="B3" s="68" t="inlineStr">
        <is>
          <t>Abierta</t>
        </is>
      </c>
      <c r="C3" s="68" t="inlineStr">
        <is>
          <t>Critica</t>
        </is>
      </c>
      <c r="D3" s="69" t="inlineStr">
        <is>
          <t>Que un abogado revise el texto base de los terminos.</t>
        </is>
      </c>
      <c r="E3" s="69" t="inlineStr">
        <is>
          <t>Antes de la primera discusion real con un creador</t>
        </is>
      </c>
      <c r="F3" s="69" t="inlineStr">
        <is>
          <t>Tu abogado</t>
        </is>
      </c>
      <c r="G3" s="69" t="inlineStr">
        <is>
          <t>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is>
      </c>
    </row>
    <row r="4" ht="57" customHeight="1" s="36">
      <c r="A4" s="67" t="inlineStr">
        <is>
          <t>T-69</t>
        </is>
      </c>
      <c r="B4" s="68" t="inlineStr">
        <is>
          <t>Abierta</t>
        </is>
      </c>
      <c r="C4" s="68" t="inlineStr">
        <is>
          <t>Critica</t>
        </is>
      </c>
      <c r="D4" s="69" t="inlineStr">
        <is>
          <t>Repasar toda decision anterior que fije un valor en el codigo, bajo DEC-190.</t>
        </is>
      </c>
      <c r="E4" s="69" t="inlineStr">
        <is>
          <t>Trabajo de fondo</t>
        </is>
      </c>
      <c r="F4" s="69" t="inlineStr">
        <is>
          <t>Equipo de desarrollo</t>
        </is>
      </c>
      <c r="G4" s="69" t="inlineStr">
        <is>
          <t>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is>
      </c>
    </row>
    <row r="5" ht="34.5" customHeight="1" s="36">
      <c r="A5" s="67" t="inlineStr">
        <is>
          <t>T-29</t>
        </is>
      </c>
      <c r="B5" s="68" t="inlineStr">
        <is>
          <t>Abierta</t>
        </is>
      </c>
      <c r="C5" s="68" t="n"/>
      <c r="D5" s="69" t="inlineStr">
        <is>
          <t>Cinco iteraciones de la Fase 3 sin documento.</t>
        </is>
      </c>
      <c r="E5" s="69" t="inlineStr">
        <is>
          <t>Antes de que se olvide el porque</t>
        </is>
      </c>
      <c r="F5" s="69" t="inlineStr">
        <is>
          <t>Equipo de desarrollo</t>
        </is>
      </c>
      <c r="G5" s="69" t="inlineStr">
        <is>
          <t>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is>
      </c>
    </row>
    <row r="6" ht="45.75" customHeight="1" s="36">
      <c r="A6" s="67" t="inlineStr">
        <is>
          <t>T-34</t>
        </is>
      </c>
      <c r="B6" s="68" t="inlineStr">
        <is>
          <t>Abierta</t>
        </is>
      </c>
      <c r="C6" s="68" t="n"/>
      <c r="D6" s="69" t="inlineStr">
        <is>
          <t>BR-CREATOR-012 dice menos de lo que el esquema implica.</t>
        </is>
      </c>
      <c r="E6" s="69" t="inlineStr">
        <is>
          <t>Al revisar docs/06</t>
        </is>
      </c>
      <c r="F6" s="69" t="inlineStr">
        <is>
          <t>Equipo de desarrollo</t>
        </is>
      </c>
      <c r="G6" s="69" t="inlineStr">
        <is>
          <t>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is>
      </c>
    </row>
    <row r="7" ht="45.75" customHeight="1" s="36">
      <c r="A7" s="67" t="inlineStr">
        <is>
          <t>T-35</t>
        </is>
      </c>
      <c r="B7" s="68" t="inlineStr">
        <is>
          <t>Abierta</t>
        </is>
      </c>
      <c r="C7" s="68" t="n"/>
      <c r="D7" s="69" t="inlineStr">
        <is>
          <t>El runbook de despliegue existe pero nadie lo ha ejecutado.</t>
        </is>
      </c>
      <c r="E7" s="69" t="inlineStr">
        <is>
          <t>Al primer despliegue</t>
        </is>
      </c>
      <c r="F7" s="69" t="inlineStr">
        <is>
          <t>Tu (primer despliegue)</t>
        </is>
      </c>
      <c r="G7" s="69" t="inlineStr">
        <is>
          <t>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is>
      </c>
    </row>
    <row r="8" ht="57" customHeight="1" s="36">
      <c r="A8" s="67" t="inlineStr">
        <is>
          <t>T-37</t>
        </is>
      </c>
      <c r="B8" s="68" t="inlineStr">
        <is>
          <t>Abierta</t>
        </is>
      </c>
      <c r="C8" s="68" t="n"/>
      <c r="D8" s="69" t="inlineStr">
        <is>
          <t>VARBINARY faltaba en el reconocedor de tipos de generar-triggers.py y puede faltar algo mas.</t>
        </is>
      </c>
      <c r="E8" s="69" t="inlineStr">
        <is>
          <t>Antes de anadir un tipo de columna nuevo</t>
        </is>
      </c>
      <c r="F8" s="69" t="inlineStr">
        <is>
          <t>Equipo de desarrollo</t>
        </is>
      </c>
      <c r="G8" s="69" t="inlineStr">
        <is>
          <t>^BINARY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is>
      </c>
    </row>
    <row r="9" ht="57" customHeight="1" s="36">
      <c r="A9" s="67" t="inlineStr">
        <is>
          <t>T-64</t>
        </is>
      </c>
      <c r="B9" s="68" t="inlineStr">
        <is>
          <t>Abierta</t>
        </is>
      </c>
      <c r="C9" s="68" t="n"/>
      <c r="D9" s="69" t="inlineStr">
        <is>
          <t>La matriz de permisos del seeder concede y no revoca nunca.</t>
        </is>
      </c>
      <c r="E9" s="69" t="inlineStr">
        <is>
          <t>Antes de la siguiente revocacion</t>
        </is>
      </c>
      <c r="F9" s="69" t="inlineStr">
        <is>
          <t>Equipo de desarrollo</t>
        </is>
      </c>
      <c r="G9" s="69" t="inlineStr">
        <is>
          <t>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is>
      </c>
    </row>
    <row r="10" ht="57" customHeight="1" s="36">
      <c r="A10" s="67" t="inlineStr">
        <is>
          <t>T-65</t>
        </is>
      </c>
      <c r="B10" s="68" t="inlineStr">
        <is>
          <t>Abierta</t>
        </is>
      </c>
      <c r="C10" s="68" t="n"/>
      <c r="D10" s="69" t="inlineStr">
        <is>
          <t>147 reglas del esquema siguen sin que nadie les pregunte nada.</t>
        </is>
      </c>
      <c r="E10" s="69" t="inlineStr">
        <is>
          <t>Trabajo de fondo</t>
        </is>
      </c>
      <c r="F10" s="69" t="inlineStr">
        <is>
          <t>Equipo de desarrollo</t>
        </is>
      </c>
      <c r="G10" s="69" t="inlineStr">
        <is>
          <t>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is>
      </c>
    </row>
    <row r="11" ht="45.75" customHeight="1" s="36">
      <c r="A11" s="67" t="inlineStr">
        <is>
          <t>T-66</t>
        </is>
      </c>
      <c r="B11" s="68" t="inlineStr">
        <is>
          <t>Abierta</t>
        </is>
      </c>
      <c r="C11" s="68" t="n"/>
      <c r="D11" s="69" t="inlineStr">
        <is>
          <t>Los mensajes de las restricciones de la Fase 2 son genericos.</t>
        </is>
      </c>
      <c r="E11" s="69" t="inlineStr">
        <is>
          <t>Antes de que un usuario real vea un 45000</t>
        </is>
      </c>
      <c r="F11" s="69" t="inlineStr">
        <is>
          <t>Equipo de desarrollo</t>
        </is>
      </c>
      <c r="G11" s="69" t="inlineStr">
        <is>
          <t>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is>
      </c>
    </row>
    <row r="12" ht="57" customHeight="1" s="36">
      <c r="A12" s="67" t="inlineStr">
        <is>
          <t>T-68</t>
        </is>
      </c>
      <c r="B12" s="68" t="inlineStr">
        <is>
          <t>Abierta</t>
        </is>
      </c>
      <c r="C12" s="68" t="n"/>
      <c r="D12" s="69" t="inlineStr">
        <is>
          <t>El registro de decisiones y 16-RESPUESTAS-NEGOCIO.md no dicen lo mismo sobre que preguntas siguen abiertas.</t>
        </is>
      </c>
      <c r="E12" s="69" t="inlineStr">
        <is>
          <t>Antes de volver a contar preguntas abiertas</t>
        </is>
      </c>
      <c r="F12" s="69" t="inlineStr">
        <is>
          <t>Equipo de desarrollo</t>
        </is>
      </c>
      <c r="G12" s="69" t="inlineStr">
        <is>
          <t>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is>
      </c>
    </row>
    <row r="13" ht="23.25" customHeight="1" s="36">
      <c r="A13" s="67" t="inlineStr">
        <is>
          <t>T-70</t>
        </is>
      </c>
      <c r="B13" s="68" t="inlineStr">
        <is>
          <t>Abierta</t>
        </is>
      </c>
      <c r="C13" s="68" t="n"/>
      <c r="D13" s="69" t="inlineStr">
        <is>
          <t>16-RESPUESTAS-NEGOCIO.md se quedo viejo: veintiuna preguntas se respondieron el 2026-08-30 y no estan alli.</t>
        </is>
      </c>
      <c r="E13" s="69" t="inlineStr">
        <is>
          <t>Antes de volver a citarlo</t>
        </is>
      </c>
      <c r="F13" s="69" t="inlineStr">
        <is>
          <t>Equipo de desarrollo</t>
        </is>
      </c>
      <c r="G13" s="69" t="inlineStr">
        <is>
          <t>El registro de decisiones ya las tiene cerradas una por una; aquel documento sigue contando quince respuestas de agosto. O se actualiza, o se marca como historico de la primera tanda y se dice que el registro manda. Relacionada con T-68</t>
        </is>
      </c>
    </row>
    <row r="14" ht="45.75" customHeight="1" s="36">
      <c r="A14" s="67" t="inlineStr">
        <is>
          <t>T-71</t>
        </is>
      </c>
      <c r="B14" s="68" t="inlineStr">
        <is>
          <t>Abierta</t>
        </is>
      </c>
      <c r="C14" s="68" t="n"/>
      <c r="D14" s="69" t="inlineStr">
        <is>
          <t>El logotipo esta compuesto con una tipografia de sistema, no con una de diseno.</t>
        </is>
      </c>
      <c r="E14" s="69" t="inlineStr">
        <is>
          <t>Cuando haya un logotipo disenado</t>
        </is>
      </c>
      <c r="F14" s="69" t="inlineStr">
        <is>
          <t>Equipo de desarrollo</t>
        </is>
      </c>
      <c r="G14" s="69" t="inlineStr">
        <is>
          <t>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is>
      </c>
    </row>
    <row r="15" ht="45.75" customHeight="1" s="36">
      <c r="A15" s="67" t="inlineStr">
        <is>
          <t>T-10</t>
        </is>
      </c>
      <c r="B15" s="68" t="inlineStr">
        <is>
          <t>Resuelta</t>
        </is>
      </c>
      <c r="C15" s="68" t="n"/>
      <c r="D15" s="69" t="inlineStr">
        <is>
          <t>RESUELTA (2026-08-26, iteracion 4.13). — El aviso al creador cuando cambian sus datos fiscales o su medio de pago.</t>
        </is>
      </c>
      <c r="E15" s="69" t="inlineStr">
        <is>
          <t>—</t>
        </is>
      </c>
      <c r="F15" s="69" t="inlineStr">
        <is>
          <t>Equipo de desarrollo</t>
        </is>
      </c>
      <c r="G15" s="69" t="inlineStr">
        <is>
          <t>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is>
      </c>
    </row>
    <row r="16" ht="57" customHeight="1" s="36">
      <c r="A16" s="67" t="inlineStr">
        <is>
          <t>T-11</t>
        </is>
      </c>
      <c r="B16" s="68" t="inlineStr">
        <is>
          <t>Resuelta</t>
        </is>
      </c>
      <c r="C16" s="68" t="n"/>
      <c r="D16" s="69" t="inlineStr">
        <is>
          <t>*(hecho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is>
      </c>
      <c r="E16" s="69" t="inlineStr">
        <is>
          <t>Antes de la primera rotación de clave</t>
        </is>
      </c>
      <c r="F16" s="69" t="inlineStr">
        <is>
          <t>Equipo de desarrollo</t>
        </is>
      </c>
      <c r="G16" s="69" t="inlineStr">
        <is>
          <t>Hace falta un comando que las recalcule. No es un problema hoy y sí lo será el día de la primera rotación</t>
        </is>
      </c>
    </row>
    <row r="17" ht="57" customHeight="1" s="36">
      <c r="A17" s="67" t="inlineStr">
        <is>
          <t>T-12</t>
        </is>
      </c>
      <c r="B17" s="68" t="inlineStr">
        <is>
          <t>Resuelta</t>
        </is>
      </c>
      <c r="C17" s="68" t="n"/>
      <c r="D17" s="69" t="inlineStr">
        <is>
          <t>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is>
      </c>
      <c r="E17" s="69" t="inlineStr">
        <is>
          <t>—</t>
        </is>
      </c>
      <c r="F17" s="69" t="inlineStr">
        <is>
          <t>Equipo de desarrollo</t>
        </is>
      </c>
      <c r="G17" s="69" t="inlineStr">
        <is>
          <t>Esta entrada se quedo en 📋 y asi siguio un mes. Al ir a abrirla se descubrio que ademas ese sitio restaba el dia a mano en vez de por Vigencia: era la octava copia. De ahi sale 4.7</t>
        </is>
      </c>
    </row>
    <row r="18" ht="102" customHeight="1" s="36">
      <c r="A18" s="67" t="inlineStr">
        <is>
          <t>T-13</t>
        </is>
      </c>
      <c r="B18" s="68" t="inlineStr">
        <is>
          <t>Resuelta</t>
        </is>
      </c>
      <c r="C18" s="68" t="n"/>
      <c r="D18" s="69" t="inlineStr">
        <is>
          <t>RESUELTA (2026-08-25, iteracion 4.9). — tests/Apoyo/ConFixturas.php: 16 copias de usuarioCon en 15 archivos y 9 insert de creador en 6 pasan a un sitio.</t>
        </is>
      </c>
      <c r="E18" s="69" t="inlineStr">
        <is>
          <t>—</t>
        </is>
      </c>
      <c r="F18" s="69" t="inlineStr">
        <is>
          <t>Equipo de desarrollo</t>
        </is>
      </c>
      <c r="G18" s="69" t="inlineStr">
        <is>
          <t>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is>
      </c>
    </row>
    <row r="19" ht="90.75" customHeight="1" s="36">
      <c r="A19" s="67" t="inlineStr">
        <is>
          <t>T-14</t>
        </is>
      </c>
      <c r="B19" s="68" t="inlineStr">
        <is>
          <t>Resuelta</t>
        </is>
      </c>
      <c r="C19" s="68" t="n"/>
      <c r="D19" s="69" t="inlineStr">
        <is>
          <t>RESUELTA (2026-08-25, iteracion 4.8). — Los cuatro disparadores de 3.9 pasan a Periodo::sinSolape(): 48 lineas de SQL tecleado a mano por 2 declaraciones.</t>
        </is>
      </c>
      <c r="E19" s="69" t="inlineStr">
        <is>
          <t>—</t>
        </is>
      </c>
      <c r="F19" s="69" t="inlineStr">
        <is>
          <t>Equipo de desarrollo</t>
        </is>
      </c>
      <c r="G19" s="69" t="inlineStr">
        <is>
          <t>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is>
      </c>
    </row>
    <row r="20" ht="57" customHeight="1" s="36">
      <c r="A20" s="67" t="inlineStr">
        <is>
          <t>T-15</t>
        </is>
      </c>
      <c r="B20" s="68" t="inlineStr">
        <is>
          <t>Resuelta</t>
        </is>
      </c>
      <c r="C20" s="68" t="n"/>
      <c r="D20" s="69" t="inlineStr">
        <is>
          <t>*(hecho en 3.11)* No existe anular un perfil fiscal aprobado. superseded significa *reemplazado* —o sea que estuvo vigente— y rejected significa que se rechazó en revisión, antes de aprobarse.</t>
        </is>
      </c>
      <c r="E20" s="69" t="inlineStr">
        <is>
          <t>Cuando haya que corregir un perfil aprobado por error</t>
        </is>
      </c>
      <c r="F20" s="69" t="inlineStr">
        <is>
          <t>Equipo de desarrollo</t>
        </is>
      </c>
      <c r="G20" s="69" t="inlineStr">
        <is>
          <t>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is>
      </c>
    </row>
    <row r="21" ht="45.75" customHeight="1" s="36">
      <c r="A21" s="67" t="inlineStr">
        <is>
          <t>T-16</t>
        </is>
      </c>
      <c r="B21" s="68" t="inlineStr">
        <is>
          <t>Resuelta</t>
        </is>
      </c>
      <c r="C21" s="68" t="n"/>
      <c r="D21" s="69" t="inlineStr">
        <is>
          <t>*(hecho en 3.12)* creator_tax_profiles se puede borrar con un DELETE. Lo llevan payouts, invoices, ledger_entries, creator_payment_methods y cinco tablas más, pero ésta no.</t>
        </is>
      </c>
      <c r="E21" s="69" t="inlineStr">
        <is>
          <t>Antes de la primera declaración que se apoye en este histórico</t>
        </is>
      </c>
      <c r="F21" s="69" t="inlineStr">
        <is>
          <t>Equipo de desarrollo</t>
        </is>
      </c>
      <c r="G21" s="69" t="inlineStr">
        <is>
          <t>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is>
      </c>
    </row>
    <row r="22" ht="57" customHeight="1" s="36">
      <c r="A22" s="67" t="inlineStr">
        <is>
          <t>T-17</t>
        </is>
      </c>
      <c r="B22" s="68" t="inlineStr">
        <is>
          <t>Resuelta</t>
        </is>
      </c>
      <c r="C22" s="68" t="n"/>
      <c r="D22" s="69" t="inlineStr">
        <is>
          <t>RESUELTA (2026-08-25, iteracion 4.6). — Las dos carreras cerradas por caminos opuestos, porque son problemas opuestos.</t>
        </is>
      </c>
      <c r="E22" s="69" t="inlineStr">
        <is>
          <t>—</t>
        </is>
      </c>
      <c r="F22" s="69" t="inlineStr">
        <is>
          <t>Equipo de desarrollo</t>
        </is>
      </c>
      <c r="G22" s="69" t="inlineStr">
        <is>
          <t>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is>
      </c>
    </row>
    <row r="23" ht="34.5" customHeight="1" s="36">
      <c r="A23" s="67" t="inlineStr">
        <is>
          <t>T-18</t>
        </is>
      </c>
      <c r="B23" s="68" t="inlineStr">
        <is>
          <t>Resuelta</t>
        </is>
      </c>
      <c r="C23" s="68" t="n"/>
      <c r="D23" s="69" t="inlineStr">
        <is>
          <t>RESUELTA (2026-08-25). — DEC-085: dos usuarios de base de datos, .env.example con las concesiones exactas, y php artisan seguridad:privilegios que lo comprueba en vez de prometerlo.</t>
        </is>
      </c>
      <c r="E23" s="69" t="inlineStr">
        <is>
          <t>Al desplegar</t>
        </is>
      </c>
      <c r="F23" s="69" t="inlineStr">
        <is>
          <t>Equipo de desarrollo</t>
        </is>
      </c>
      <c r="G23" s="69" t="inlineStr">
        <is>
          <t>La suite 3.12 fija las dos mitades con usuarios reales, incluida la incomoda: con DROP la bitacora si se vacia. Falta ejecutar los GRANT en el servidor de produccion</t>
        </is>
      </c>
    </row>
    <row r="24" ht="23.25" customHeight="1" s="36">
      <c r="A24" s="67" t="inlineStr">
        <is>
          <t>T-19</t>
        </is>
      </c>
      <c r="B24" s="68" t="inlineStr">
        <is>
          <t>Resuelta</t>
        </is>
      </c>
      <c r="C24" s="68" t="n"/>
      <c r="D24" s="69" t="inlineStr">
        <is>
          <t>RESUELTA (2026-08-25). — Se calcula al leer (DEC-083).</t>
        </is>
      </c>
      <c r="E24" s="69" t="inlineStr">
        <is>
          <t>—</t>
        </is>
      </c>
      <c r="F24" s="69" t="inlineStr">
        <is>
          <t>Equipo de desarrollo</t>
        </is>
      </c>
      <c r="G24" s="69" t="inlineStr">
        <is>
          <t>Un disparador no puede actualizar su propia tabla (1442, comprobado), asi que el estado dejo de guardarse: CuentasCompartidas resuelve la pregunta y las dos filas dicen lo mismo por construccion</t>
        </is>
      </c>
    </row>
    <row r="25" ht="90.75" customHeight="1" s="36">
      <c r="A25" s="67" t="inlineStr">
        <is>
          <t>T-20</t>
        </is>
      </c>
      <c r="B25" s="68" t="inlineStr">
        <is>
          <t>Resuelta</t>
        </is>
      </c>
      <c r="C25" s="68" t="n"/>
      <c r="D25" s="69" t="inlineStr">
        <is>
          <t>CERRADA DEL TODO (2026-08-25, iteracion 4.10). — La primera mitad la resolvio DEC-083.</t>
        </is>
      </c>
      <c r="E25" s="69" t="inlineStr">
        <is>
          <t>—</t>
        </is>
      </c>
      <c r="F25" s="69" t="inlineStr">
        <is>
          <t>Equipo de desarrollo</t>
        </is>
      </c>
      <c r="G25" s="69" t="inlineStr">
        <is>
          <t>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is>
      </c>
    </row>
    <row r="26" ht="34.5" customHeight="1" s="36">
      <c r="A26" s="67" t="inlineStr">
        <is>
          <t>T-21</t>
        </is>
      </c>
      <c r="B26" s="68" t="inlineStr">
        <is>
          <t>Resuelta</t>
        </is>
      </c>
      <c r="C26" s="68" t="n"/>
      <c r="D26" s="69" t="inlineStr">
        <is>
          <t>RESUELTA (2026-08-25). — «Vigente» exige valid_from &lt;= CURDATE() (DEC-084), y el mensaje de aprobacion distingue «aprobado y vigente» de «aprobado, todavia NO rige»</t>
        </is>
      </c>
      <c r="E26" s="69" t="inlineStr">
        <is>
          <t>—</t>
        </is>
      </c>
      <c r="F26" s="69" t="inlineStr">
        <is>
          <t>Equipo de desarrollo</t>
        </is>
      </c>
      <c r="G26" s="69" t="n"/>
    </row>
    <row r="27" ht="45.75" customHeight="1" s="36">
      <c r="A27" s="67" t="inlineStr">
        <is>
          <t>T-22</t>
        </is>
      </c>
      <c r="B27" s="68" t="inlineStr">
        <is>
          <t>Resuelta</t>
        </is>
      </c>
      <c r="C27" s="68" t="n"/>
      <c r="D27" s="69" t="inlineStr">
        <is>
          <t>RESUELTA (2026-08-25). — La guarda de solicitudes deja de filtrar por estado —las unicas se apoyan en identity_gate, que no lo mira— y el mensaje distingue un duplicado administrativo de una persona en lista negra.</t>
        </is>
      </c>
      <c r="E27" s="69" t="inlineStr">
        <is>
          <t>—</t>
        </is>
      </c>
      <c r="F27" s="69" t="inlineStr">
        <is>
          <t>Equipo de desarrollo</t>
        </is>
      </c>
      <c r="G27" s="69" t="inlineStr">
        <is>
          <t>La de redes sociales comprueba ademas las cuentas propias, que era el caso frecuente</t>
        </is>
      </c>
    </row>
    <row r="28" ht="34.5" customHeight="1" s="36">
      <c r="A28" s="67" t="inlineStr">
        <is>
          <t>T-23</t>
        </is>
      </c>
      <c r="B28" s="68" t="inlineStr">
        <is>
          <t>Resuelta</t>
        </is>
      </c>
      <c r="C28" s="68" t="n"/>
      <c r="D28" s="69" t="inlineStr">
        <is>
          <t>RESUELTA (2026-08-25). — DEC-086: middleware en el grupo web, pantalla de cambio, y tres reglas que hacen que sirva —la nueva distinta de la actual, se pide la actual, y sin permiso—.</t>
        </is>
      </c>
      <c r="E28" s="69" t="inlineStr">
        <is>
          <t>—</t>
        </is>
      </c>
      <c r="F28" s="69" t="inlineStr">
        <is>
          <t>Equipo de desarrollo</t>
        </is>
      </c>
      <c r="G28" s="69" t="inlineStr">
        <is>
          <t>La marca que se escribia desde 3.1 por fin significa algo</t>
        </is>
      </c>
    </row>
    <row r="29" ht="15" customHeight="1" s="36">
      <c r="A29" s="67" t="inlineStr">
        <is>
          <t>T-24</t>
        </is>
      </c>
      <c r="B29" s="68" t="inlineStr">
        <is>
          <t>Resuelta</t>
        </is>
      </c>
      <c r="C29" s="68" t="n"/>
      <c r="D29" s="69" t="inlineStr">
        <is>
          <t>RESUELTA (2026-08-25). — max(1, ...) en el config.</t>
        </is>
      </c>
      <c r="E29" s="69" t="inlineStr">
        <is>
          <t>—</t>
        </is>
      </c>
      <c r="F29" s="69" t="inlineStr">
        <is>
          <t>Equipo de desarrollo</t>
        </is>
      </c>
      <c r="G29" s="69" t="inlineStr">
        <is>
          <t>Un comentario que dice «esto no puede pasar» y no lo impide es una nota, no una regla</t>
        </is>
      </c>
    </row>
    <row r="30" ht="45.75" customHeight="1" s="36">
      <c r="A30" s="67" t="inlineStr">
        <is>
          <t>T-25</t>
        </is>
      </c>
      <c r="B30" s="68" t="inlineStr">
        <is>
          <t>Resuelta</t>
        </is>
      </c>
      <c r="C30" s="68" t="n"/>
      <c r="D30" s="69" t="inlineStr">
        <is>
          <t>RESUELTA (2026-08-25). La suite de PHPUnit se ejecuto por primera vez. — 228 pruebas, 695 aserciones.</t>
        </is>
      </c>
      <c r="E30" s="69" t="inlineStr">
        <is>
          <t>—</t>
        </is>
      </c>
      <c r="F30" s="69" t="inlineStr">
        <is>
          <t>Equipo de desarrollo</t>
        </is>
      </c>
      <c r="G30" s="69" t="inlineStr">
        <is>
          <t>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is>
      </c>
    </row>
    <row r="31" ht="57" customHeight="1" s="36">
      <c r="A31" s="67" t="inlineStr">
        <is>
          <t>T-26</t>
        </is>
      </c>
      <c r="B31" s="68" t="inlineStr">
        <is>
          <t>Resuelta</t>
        </is>
      </c>
      <c r="C31" s="68" t="n"/>
      <c r="D31" s="69" t="inlineStr">
        <is>
          <t>RESUELTA (2026-08-25). Verificado el verificador. — Que 228 pruebas nunca ejecutadas salgan verdes a la primera es sospechoso, asi que se comprobo con tres mutaciones.</t>
        </is>
      </c>
      <c r="E31" s="69" t="inlineStr">
        <is>
          <t>—</t>
        </is>
      </c>
      <c r="F31" s="69" t="inlineStr">
        <is>
          <t>Equipo de desarrollo</t>
        </is>
      </c>
      <c r="G31" s="69" t="inlineStr">
        <is>
          <t>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is>
      </c>
    </row>
    <row r="32" ht="102" customHeight="1" s="36">
      <c r="A32" s="67" t="inlineStr">
        <is>
          <t>T-27</t>
        </is>
      </c>
      <c r="B32" s="68" t="inlineStr">
        <is>
          <t>Resuelta</t>
        </is>
      </c>
      <c r="C32" s="68" t="n"/>
      <c r="D32" s="69" t="inlineStr">
        <is>
          <t>RESUELTA (2026-08-25, iteracion 4.11). — tools/pruebas/4.11-concurrencia.sh: dos clientes de verdad contra el mismo motor, sin un solo sleep de sincronizacion.</t>
        </is>
      </c>
      <c r="E32" s="69" t="inlineStr">
        <is>
          <t>—</t>
        </is>
      </c>
      <c r="F32" s="69" t="inlineStr">
        <is>
          <t>Equipo de desarrollo</t>
        </is>
      </c>
      <c r="G32" s="69" t="inlineStr">
        <is>
          <t>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is>
      </c>
    </row>
    <row r="33" ht="57" customHeight="1" s="36">
      <c r="A33" s="67" t="inlineStr">
        <is>
          <t>T-28</t>
        </is>
      </c>
      <c r="B33" s="68" t="inlineStr">
        <is>
          <t>Resuelta</t>
        </is>
      </c>
      <c r="C33" s="68" t="n"/>
      <c r="D33" s="69" t="inlineStr">
        <is>
          <t>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is>
      </c>
      <c r="E33" s="69" t="inlineStr">
        <is>
          <t>—</t>
        </is>
      </c>
      <c r="F33" s="69" t="inlineStr">
        <is>
          <t>Equipo de desarrollo</t>
        </is>
      </c>
      <c r="G33" s="69" t="inlineStr">
        <is>
          <t>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is>
      </c>
    </row>
    <row r="34" ht="45.75" customHeight="1" s="36">
      <c r="A34" s="67" t="inlineStr">
        <is>
          <t>T-30</t>
        </is>
      </c>
      <c r="B34" s="68" t="inlineStr">
        <is>
          <t>Resuelta</t>
        </is>
      </c>
      <c r="C34" s="68" t="n"/>
      <c r="D34" s="69" t="inlineStr">
        <is>
          <t>RESUELTA (2026-08-25). — 09-NEXT-ITERATION.md llevaba desde el 21 de agosto diciendo «me detengo aqui; no hay codigo, no hay esquema y no hay wireframes».</t>
        </is>
      </c>
      <c r="E34" s="69" t="inlineStr">
        <is>
          <t>—</t>
        </is>
      </c>
      <c r="F34" s="69" t="inlineStr">
        <is>
          <t>Equipo de desarrollo</t>
        </is>
      </c>
      <c r="G34" s="69" t="inlineStr">
        <is>
          <t>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is>
      </c>
    </row>
    <row r="35" ht="57" customHeight="1" s="36">
      <c r="A35" s="67" t="inlineStr">
        <is>
          <t>T-31</t>
        </is>
      </c>
      <c r="B35" s="68" t="inlineStr">
        <is>
          <t>Resuelta</t>
        </is>
      </c>
      <c r="C35" s="68" t="n"/>
      <c r="D35" s="69" t="inlineStr">
        <is>
          <t>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is>
      </c>
      <c r="E35" s="69" t="inlineStr">
        <is>
          <t>—</t>
        </is>
      </c>
      <c r="F35" s="69" t="inlineStr">
        <is>
          <t>Equipo de desarrollo</t>
        </is>
      </c>
      <c r="G35" s="69" t="inlineStr">
        <is>
          <t>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is>
      </c>
    </row>
    <row r="36" ht="57" customHeight="1" s="36">
      <c r="A36" s="67" t="inlineStr">
        <is>
          <t>T-32</t>
        </is>
      </c>
      <c r="B36" s="68" t="inlineStr">
        <is>
          <t>Resuelta</t>
        </is>
      </c>
      <c r="C36" s="68" t="n"/>
      <c r="D36" s="69" t="inlineStr">
        <is>
          <t>RESUELTA (2026-08-25). — Los tres errores que PHPStan encontro en la maquina del usuario.</t>
        </is>
      </c>
      <c r="E36" s="69" t="inlineStr">
        <is>
          <t>—</t>
        </is>
      </c>
      <c r="F36" s="69" t="inlineStr">
        <is>
          <t>Equipo de desarrollo</t>
        </is>
      </c>
      <c r="G36" s="69" t="inlineStr">
        <is>
          <t>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is>
      </c>
    </row>
    <row r="37" ht="34.5" customHeight="1" s="36">
      <c r="A37" s="67" t="inlineStr">
        <is>
          <t>T-33</t>
        </is>
      </c>
      <c r="B37" s="68" t="inlineStr">
        <is>
          <t>Resuelta</t>
        </is>
      </c>
      <c r="C37" s="68" t="n"/>
      <c r="D37" s="69" t="inlineStr">
        <is>
          <t>RESUELTA (2026-08-25, iteracion 7.3). — ck_creq_deadline y ck_creq_permanence.</t>
        </is>
      </c>
      <c r="E37" s="69" t="inlineStr">
        <is>
          <t>—</t>
        </is>
      </c>
      <c r="F37" s="69" t="inlineStr">
        <is>
          <t>Equipo de desarrollo</t>
        </is>
      </c>
      <c r="G37" s="69" t="inlineStr">
        <is>
          <t>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is>
      </c>
    </row>
    <row r="38" ht="23.25" customHeight="1" s="36">
      <c r="A38" s="67" t="inlineStr">
        <is>
          <t>T-36</t>
        </is>
      </c>
      <c r="B38" s="68" t="inlineStr">
        <is>
          <t>Resuelta</t>
        </is>
      </c>
      <c r="C38" s="68" t="n"/>
      <c r="D38" s="69" t="inlineStr">
        <is>
          <t>RESUELTA (2026-08-26, iteracion 7.6b). — Ver DEC-126.</t>
        </is>
      </c>
      <c r="E38" s="69" t="inlineStr">
        <is>
          <t>—</t>
        </is>
      </c>
      <c r="F38" s="69" t="inlineStr">
        <is>
          <t>Equipo de desarrollo</t>
        </is>
      </c>
      <c r="G38" s="69" t="inlineStr">
        <is>
          <t>La pieza ya estaba: Cuentas::paraCreador() y Cuentas::paraInterno() se diferencian en tres argumentos, y eso es lo que se cobro la decision de 5.9 de poner esa clase en Identity en vez de en Creator</t>
        </is>
      </c>
    </row>
    <row r="39" ht="15" customHeight="1" s="36">
      <c r="A39" s="67" t="inlineStr">
        <is>
          <t>T-38</t>
        </is>
      </c>
      <c r="B39" s="68" t="inlineStr">
        <is>
          <t>Resuelta</t>
        </is>
      </c>
      <c r="C39" s="68" t="n"/>
      <c r="D39" s="69" t="inlineStr">
        <is>
          <t>RESUELTA (2026-08-26, iteracion 7.6b). — Ver DEC-124.</t>
        </is>
      </c>
      <c r="E39" s="69" t="inlineStr">
        <is>
          <t>—</t>
        </is>
      </c>
      <c r="F39" s="69" t="inlineStr">
        <is>
          <t>Equipo de desarrollo</t>
        </is>
      </c>
      <c r="G39" s="69" t="inlineStr">
        <is>
          <t>Ver docs/fase-7/7.6b-CABOS-SUELTOS.md</t>
        </is>
      </c>
    </row>
    <row r="40" ht="57" customHeight="1" s="36">
      <c r="A40" s="67" t="inlineStr">
        <is>
          <t>T-39</t>
        </is>
      </c>
      <c r="B40" s="68" t="inlineStr">
        <is>
          <t>Resuelta</t>
        </is>
      </c>
      <c r="C40" s="68" t="n"/>
      <c r="D40" s="69" t="inlineStr">
        <is>
          <t>RESUELTA (2026-08-26, iteracion 7.6). Un fallo INTERMITENTE en ConFixturas que llevaba desde 4.9 escondido. — creadorActivo() pasaba eligible_from =&gt; now()-&gt;subDay() y medioDePago() ponia verified_at =&gt; now()-&gt;subDay(): dos llamadas distintas, separadas por la creacion de un usuario.</t>
        </is>
      </c>
      <c r="E40" s="69" t="inlineStr">
        <is>
          <t>—</t>
        </is>
      </c>
      <c r="F40" s="69" t="inlineStr">
        <is>
          <t>Equipo de desarrollo</t>
        </is>
      </c>
      <c r="G40" s="69" t="inlineStr">
        <is>
          <t>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is>
      </c>
    </row>
    <row r="41" ht="57" customHeight="1" s="36">
      <c r="A41" s="67" t="inlineStr">
        <is>
          <t>T-40</t>
        </is>
      </c>
      <c r="B41" s="68" t="inlineStr">
        <is>
          <t>Resuelta</t>
        </is>
      </c>
      <c r="C41" s="68" t="n"/>
      <c r="D41" s="69" t="inlineStr">
        <is>
          <t>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is>
      </c>
      <c r="E41" s="69" t="inlineStr">
        <is>
          <t>—</t>
        </is>
      </c>
      <c r="F41" s="69" t="inlineStr">
        <is>
          <t>Equipo de desarrollo</t>
        </is>
      </c>
      <c r="G41" s="69" t="inlineStr">
        <is>
          <t>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is>
      </c>
    </row>
    <row r="42" ht="57" customHeight="1" s="36">
      <c r="A42" s="67" t="inlineStr">
        <is>
          <t>T-41</t>
        </is>
      </c>
      <c r="B42" s="68" t="inlineStr">
        <is>
          <t>Resuelta</t>
        </is>
      </c>
      <c r="C42" s="68" t="n"/>
      <c r="D42" s="69" t="inlineStr">
        <is>
          <t>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is>
      </c>
      <c r="E42" s="69" t="inlineStr">
        <is>
          <t>—</t>
        </is>
      </c>
      <c r="F42" s="69" t="inlineStr">
        <is>
          <t>Equipo de desarrollo</t>
        </is>
      </c>
      <c r="G42" s="69" t="inlineStr">
        <is>
          <t>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is>
      </c>
    </row>
    <row r="43" ht="45.75" customHeight="1" s="36">
      <c r="A43" s="67" t="inlineStr">
        <is>
          <t>T-42</t>
        </is>
      </c>
      <c r="B43" s="68" t="inlineStr">
        <is>
          <t>Resuelta</t>
        </is>
      </c>
      <c r="C43" s="68" t="n"/>
      <c r="D43" s="69" t="inlineStr">
        <is>
          <t>RESUELTA (2026-08-26). verificar-fixturas.py no sabia distinguir un fixture invalido A PROPOSITO. — Una prueba que afirma «la base rechaza esto» necesita escribir una fila mala, y la herramienta la marcaba en rojo con toda la razon tecnica y ninguna practica.</t>
        </is>
      </c>
      <c r="E43" s="69" t="inlineStr">
        <is>
          <t>—</t>
        </is>
      </c>
      <c r="F43" s="69" t="inlineStr">
        <is>
          <t>Equipo de desarrollo</t>
        </is>
      </c>
      <c r="G43" s="69" t="inlineStr">
        <is>
          <t>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is>
      </c>
    </row>
    <row r="44" ht="68.25" customHeight="1" s="36">
      <c r="A44" s="67" t="inlineStr">
        <is>
          <t>T-43</t>
        </is>
      </c>
      <c r="B44" s="68" t="inlineStr">
        <is>
          <t>Resuelta</t>
        </is>
      </c>
      <c r="C44" s="68" t="n"/>
      <c r="D44" s="69" t="inlineStr">
        <is>
          <t>RESUELTA (2026-08-26). Cuatro mensajes que en PRODUCCION no caben, rotos desde 7.4 y verdes en las tres bases. — MESSAGE_TEXT es VARCHAR(128) y MySQL 8 y Percona 5.7 no truncan: sueltan 1648 Data too long for condition item en lugar del 45000 que el disparador queria dar.</t>
        </is>
      </c>
      <c r="E44" s="69" t="inlineStr">
        <is>
          <t>8.1</t>
        </is>
      </c>
      <c r="F44" s="69" t="inlineStr">
        <is>
          <t>Equipo de desarrollo</t>
        </is>
      </c>
      <c r="G44" s="69" t="inlineStr">
        <is>
          <t>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is>
      </c>
    </row>
    <row r="45" ht="68.25" customHeight="1" s="36">
      <c r="A45" s="67" t="inlineStr">
        <is>
          <t>T-44</t>
        </is>
      </c>
      <c r="B45" s="68" t="inlineStr">
        <is>
          <t>Resuelta</t>
        </is>
      </c>
      <c r="C45" s="68" t="n"/>
      <c r="D45" s="69" t="inlineStr">
        <is>
          <t>RESUELTA (2026-08-26). Una suite que se creia limpia y corria sobre filas de otra. — 8.1-entregables.sh abria con DELETE FROM deliverables y exigia la tabla vacia.</t>
        </is>
      </c>
      <c r="E45" s="69" t="inlineStr">
        <is>
          <t>8.1</t>
        </is>
      </c>
      <c r="F45" s="69" t="inlineStr">
        <is>
          <t>Equipo de desarrollo</t>
        </is>
      </c>
      <c r="G45" s="69" t="inlineStr">
        <is>
          <t>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is>
      </c>
    </row>
    <row r="46" ht="34.5" customHeight="1" s="36">
      <c r="A46" s="67" t="inlineStr">
        <is>
          <t>T-45</t>
        </is>
      </c>
      <c r="B46" s="68" t="inlineStr">
        <is>
          <t>Resuelta</t>
        </is>
      </c>
      <c r="C46" s="68" t="n"/>
      <c r="D46" s="69" t="inlineStr">
        <is>
          <t>RESUELTA (2026-08-26). «Un veredicto no se edita» lo decia el documento de 2.12 desde el primer dia y no lo impedia nada. — content_reviews se describia como append-only y aceptaba UPDATE sin mas.</t>
        </is>
      </c>
      <c r="E46" s="69" t="inlineStr">
        <is>
          <t>8.3</t>
        </is>
      </c>
      <c r="F46" s="69" t="inlineStr">
        <is>
          <t>Equipo de desarrollo</t>
        </is>
      </c>
      <c r="G46" s="69" t="inlineStr">
        <is>
          <t>Un veredicto justifica una ronda cobrada: si se puede reescribir, reconstruir por que se facturo algo depende de que nadie lo tocara. tg_cvw_inmutable bloquea el UPDATE ENTERO y no columna por columna, porque no hay ninguna columna de esa tabla que tenga sentido cambiar despues</t>
        </is>
      </c>
    </row>
    <row r="47" ht="57" customHeight="1" s="36">
      <c r="A47" s="67" t="inlineStr">
        <is>
          <t>T-46</t>
        </is>
      </c>
      <c r="B47" s="68" t="inlineStr">
        <is>
          <t>Resuelta</t>
        </is>
      </c>
      <c r="C47" s="68" t="n"/>
      <c r="D47" s="69" t="inlineStr">
        <is>
          <t>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is>
      </c>
      <c r="E47" s="69" t="inlineStr">
        <is>
          <t>8.3</t>
        </is>
      </c>
      <c r="F47" s="69" t="inlineStr">
        <is>
          <t>Equipo de desarrollo</t>
        </is>
      </c>
      <c r="G47" s="69" t="inlineStr">
        <is>
          <t>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is>
      </c>
    </row>
    <row r="48" ht="79.5" customHeight="1" s="36">
      <c r="A48" s="67" t="inlineStr">
        <is>
          <t>T-47</t>
        </is>
      </c>
      <c r="B48" s="68" t="inlineStr">
        <is>
          <t>Resuelta</t>
        </is>
      </c>
      <c r="C48" s="68" t="n"/>
      <c r="D48" s="69" t="inlineStr">
        <is>
          <t>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is>
      </c>
      <c r="E48" s="69" t="inlineStr">
        <is>
          <t>8.2</t>
        </is>
      </c>
      <c r="F48" s="69" t="inlineStr">
        <is>
          <t>Equipo de desarrollo</t>
        </is>
      </c>
      <c r="G48" s="69" t="inlineStr">
        <is>
          <t>tg_dv_entregable_abierto. Es la TERCERA vez en esta fase que aparece la misma forma: la regla escrita en el servicio y la base sin enterarse</t>
        </is>
      </c>
    </row>
    <row r="49" ht="57" customHeight="1" s="36">
      <c r="A49" s="67" t="inlineStr">
        <is>
          <t>T-48</t>
        </is>
      </c>
      <c r="B49" s="68" t="inlineStr">
        <is>
          <t>Resuelta</t>
        </is>
      </c>
      <c r="C49" s="68" t="n"/>
      <c r="D49" s="69" t="inlineStr">
        <is>
          <t>RESUELTA (2026-08-26). Una asercion que dependia del ORDEN en que un motor evalua los CHECK. — La suite de 8.3 afirmaba «aprobar sin decir quien se rechaza por ck_del_aprobador».</t>
        </is>
      </c>
      <c r="E49" s="69" t="inlineStr">
        <is>
          <t>8.2</t>
        </is>
      </c>
      <c r="F49" s="69" t="inlineStr">
        <is>
          <t>Equipo de desarrollo</t>
        </is>
      </c>
      <c r="G49" s="69" t="inlineStr">
        <is>
          <t>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is>
      </c>
    </row>
    <row r="50" ht="45.75" customHeight="1" s="36">
      <c r="A50" s="67" t="inlineStr">
        <is>
          <t>T-49</t>
        </is>
      </c>
      <c r="B50" s="68" t="inlineStr">
        <is>
          <t>Resuelta</t>
        </is>
      </c>
      <c r="C50" s="68" t="n"/>
      <c r="D50" s="69" t="inlineStr">
        <is>
          <t>RESUELTA (2026-08-26). La suite de 2.12 empezo a pasar en un motor y no en el otro. — Al exigir 8.6 que un entregable este APROBADO antes de publicarlo, esa suite paso a hacer UPDATE deliverables ...</t>
        </is>
      </c>
      <c r="E50" s="69" t="inlineStr">
        <is>
          <t>8.6</t>
        </is>
      </c>
      <c r="F50" s="69" t="inlineStr">
        <is>
          <t>Equipo de desarrollo</t>
        </is>
      </c>
      <c r="G50" s="69" t="inlineStr">
        <is>
          <t>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is>
      </c>
    </row>
    <row r="51" ht="68.25" customHeight="1" s="36">
      <c r="A51" s="67" t="inlineStr">
        <is>
          <t>T-50</t>
        </is>
      </c>
      <c r="B51" s="68" t="inlineStr">
        <is>
          <t>Resuelta</t>
        </is>
      </c>
      <c r="C51" s="68" t="n"/>
      <c r="D51" s="69" t="inlineStr">
        <is>
          <t>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is>
      </c>
      <c r="E51" s="69" t="inlineStr">
        <is>
          <t>8.7</t>
        </is>
      </c>
      <c r="F51" s="69" t="inlineStr">
        <is>
          <t>Equipo de desarrollo</t>
        </is>
      </c>
      <c r="G51" s="69" t="inlineStr">
        <is>
          <t>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is>
      </c>
    </row>
    <row r="52" ht="57" customHeight="1" s="36">
      <c r="A52" s="67" t="inlineStr">
        <is>
          <t>T-51</t>
        </is>
      </c>
      <c r="B52" s="68" t="inlineStr">
        <is>
          <t>Resuelta</t>
        </is>
      </c>
      <c r="C52" s="68" t="n"/>
      <c r="D52" s="69" t="inlineStr">
        <is>
          <t>RESUELTA (2026-08-27). Dos aserciones mas que dependian del orden de evaluacion del motor. — is_live = 7 sin notas viola ck_pc_is_live y ck_pc_caida_motivada a la vez; status = 'expired' con la permanencia puesta viola ck_pub_status y ck_pub_permanence.</t>
        </is>
      </c>
      <c r="E52" s="69" t="inlineStr">
        <is>
          <t>8.8</t>
        </is>
      </c>
      <c r="F52" s="69" t="inlineStr">
        <is>
          <t>Equipo de desarrollo</t>
        </is>
      </c>
      <c r="G52" s="69" t="inlineStr">
        <is>
          <t>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is>
      </c>
    </row>
    <row r="53" ht="90.75" customHeight="1" s="36">
      <c r="A53" s="67" t="inlineStr">
        <is>
          <t>T-52</t>
        </is>
      </c>
      <c r="B53" s="68" t="inlineStr">
        <is>
          <t>Resuelta</t>
        </is>
      </c>
      <c r="C53" s="68" t="n"/>
      <c r="D53" s="69" t="inlineStr">
        <is>
          <t>RESUELTA (2026-08-27). El CI llevaba VEINTICUATRO ejecuciones en rojo por un archivo que yo no podia ver. — Ultimo verde: la ejecucion 24, en 4.1 Clientes; desde 4.2 Marcas todas rojas, y el paso 7 del protocolo --«comprobar que el CI corrio y en verde»-- no se cumplia.</t>
        </is>
      </c>
      <c r="E53" s="69" t="inlineStr">
        <is>
          <t>8.8</t>
        </is>
      </c>
      <c r="F53" s="69" t="inlineStr">
        <is>
          <t>Equipo de desarrollo</t>
        </is>
      </c>
      <c r="G53" s="69" t="inlineStr">
        <is>
          <t>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is>
      </c>
    </row>
    <row r="54" ht="57" customHeight="1" s="36">
      <c r="A54" s="67" t="inlineStr">
        <is>
          <t>T-53</t>
        </is>
      </c>
      <c r="B54" s="68" t="inlineStr">
        <is>
          <t>Resuelta</t>
        </is>
      </c>
      <c r="C54" s="68" t="n"/>
      <c r="D54" s="69" t="inlineStr">
        <is>
          <t>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is>
      </c>
      <c r="E54" s="69" t="inlineStr">
        <is>
          <t>8.4</t>
        </is>
      </c>
      <c r="F54" s="69" t="inlineStr">
        <is>
          <t>Tu contador</t>
        </is>
      </c>
      <c r="G54" s="69" t="inlineStr">
        <is>
          <t>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is>
      </c>
    </row>
    <row r="55" ht="45.75" customHeight="1" s="36">
      <c r="A55" s="67" t="inlineStr">
        <is>
          <t>T-54</t>
        </is>
      </c>
      <c r="B55" s="68" t="inlineStr">
        <is>
          <t>Resuelta</t>
        </is>
      </c>
      <c r="C55" s="68" t="n"/>
      <c r="D55" s="69" t="inlineStr">
        <is>
          <t>RESUELTA (2026-08-27). Dos suites estaban verdes por una premisa que nunca escribieron. — Al poner tg_cvw_techo se cayeron dos aserciones antiguas, y las dos tenian razon en caerse.</t>
        </is>
      </c>
      <c r="E55" s="69" t="inlineStr">
        <is>
          <t>8.4</t>
        </is>
      </c>
      <c r="F55" s="69" t="inlineStr">
        <is>
          <t>Tu contador</t>
        </is>
      </c>
      <c r="G55" s="69" t="inlineStr">
        <is>
          <t>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is>
      </c>
    </row>
    <row r="56" ht="57" customHeight="1" s="36">
      <c r="A56" s="67" t="inlineStr">
        <is>
          <t>T-55</t>
        </is>
      </c>
      <c r="B56" s="68" t="inlineStr">
        <is>
          <t>Resuelta</t>
        </is>
      </c>
      <c r="C56" s="68" t="n"/>
      <c r="D56" s="69" t="inlineStr">
        <is>
          <t>RESUELTA (2026-08-27). Nueve suites se habrian puesto verdes con el motor apagado. — Los cuatro ayudantes estaban COPIADOS en las treinta suites y el QA de fase los midio: seis variantes de lo mismo, y nueve sin la guarda de conexion.</t>
        </is>
      </c>
      <c r="E56" s="69" t="inlineStr">
        <is>
          <t>8.11</t>
        </is>
      </c>
      <c r="F56" s="69" t="inlineStr">
        <is>
          <t>Equipo de desarrollo</t>
        </is>
      </c>
      <c r="G56" s="69" t="inlineStr">
        <is>
          <t>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is>
      </c>
    </row>
    <row r="57" ht="57" customHeight="1" s="36">
      <c r="A57" s="67" t="inlineStr">
        <is>
          <t>T-56</t>
        </is>
      </c>
      <c r="B57" s="68" t="inlineStr">
        <is>
          <t>Resuelta</t>
        </is>
      </c>
      <c r="C57" s="68" t="n"/>
      <c r="D57" s="69" t="inlineStr">
        <is>
          <t>RESUELTA (2026-08-27). cargosPendientes() no sabia cuales estaban pendientes. — Devolvia TODAS las rondas de mas de la campana, para siempre, porque no filtra por «facturada» --no existe esa columna--.</t>
        </is>
      </c>
      <c r="E57" s="69" t="inlineStr">
        <is>
          <t>8.11</t>
        </is>
      </c>
      <c r="F57" s="69" t="inlineStr">
        <is>
          <t>Equipo de desarrollo</t>
        </is>
      </c>
      <c r="G57" s="69" t="inlineStr">
        <is>
          <t>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is>
      </c>
    </row>
    <row r="58" ht="45.75" customHeight="1" s="36">
      <c r="A58" s="67" t="inlineStr">
        <is>
          <t>T-57</t>
        </is>
      </c>
      <c r="B58" s="68" t="inlineStr">
        <is>
          <t>Resuelta</t>
        </is>
      </c>
      <c r="C58" s="68" t="n"/>
      <c r="D58" s="69" t="inlineStr">
        <is>
          <t>RESUELTA (2026-08-27). El contador de columnas puerta iba por 17 y son 24. — Los documentos y los comentarios del esquema las venian numerando a mano --«la decimoquinta», «la decimosexta»-- y el numero se heredaba de un documento al siguiente sin que nadie contara.</t>
        </is>
      </c>
      <c r="E58" s="69" t="inlineStr">
        <is>
          <t>8.11</t>
        </is>
      </c>
      <c r="F58" s="69" t="inlineStr">
        <is>
          <t>Tu contador</t>
        </is>
      </c>
      <c r="G58" s="69" t="inlineStr">
        <is>
          <t>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is>
      </c>
    </row>
    <row r="59" ht="68.25" customHeight="1" s="36">
      <c r="A59" s="67" t="inlineStr">
        <is>
          <t>T-58</t>
        </is>
      </c>
      <c r="B59" s="68" t="inlineStr">
        <is>
          <t>Resuelta</t>
        </is>
      </c>
      <c r="C59" s="68" t="n"/>
      <c r="D59" s="69" t="inlineStr">
        <is>
          <t>RESUELTA (2026-08-27). La ficha de campana ensenaba la sociedad que tocaria HOY bajo el rotulo de la guardada. — El bloque imprimia $cobertura-&gt;entidad-&gt;legal_name --lo que devuelve el resolver-- con la unica condicion de que la campana tuviera alguna sociedad guardada.</t>
        </is>
      </c>
      <c r="E59" s="69" t="inlineStr">
        <is>
          <t>8.12</t>
        </is>
      </c>
      <c r="F59" s="69" t="inlineStr">
        <is>
          <t>Equipo de desarrollo</t>
        </is>
      </c>
      <c r="G59" s="69" t="inlineStr">
        <is>
          <t>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is>
      </c>
    </row>
    <row r="60" ht="68.25" customHeight="1" s="36">
      <c r="A60" s="67" t="inlineStr">
        <is>
          <t>T-59</t>
        </is>
      </c>
      <c r="B60" s="68" t="inlineStr">
        <is>
          <t>Resuelta</t>
        </is>
      </c>
      <c r="C60" s="68" t="n"/>
      <c r="D60" s="69" t="inlineStr">
        <is>
          <t>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is>
      </c>
      <c r="E60" s="69" t="inlineStr">
        <is>
          <t>8.13</t>
        </is>
      </c>
      <c r="F60" s="69" t="inlineStr">
        <is>
          <t>Equipo de desarrollo</t>
        </is>
      </c>
      <c r="G60" s="69" t="inlineStr">
        <is>
          <t>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is>
      </c>
    </row>
    <row r="61" ht="68.25" customHeight="1" s="36">
      <c r="A61" s="67" t="inlineStr">
        <is>
          <t>T-60</t>
        </is>
      </c>
      <c r="B61" s="68" t="inlineStr">
        <is>
          <t>Resuelta</t>
        </is>
      </c>
      <c r="C61" s="68" t="n"/>
      <c r="D61" s="69" t="inlineStr">
        <is>
          <t>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is>
      </c>
      <c r="E61" s="69" t="inlineStr">
        <is>
          <t>9.1</t>
        </is>
      </c>
      <c r="F61" s="69" t="inlineStr">
        <is>
          <t>Tu contador</t>
        </is>
      </c>
      <c r="G61" s="69" t="inlineStr">
        <is>
          <t>(b)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is>
      </c>
    </row>
    <row r="62" ht="68.25" customHeight="1" s="36">
      <c r="A62" s="67" t="inlineStr">
        <is>
          <t>T-61</t>
        </is>
      </c>
      <c r="B62" s="68" t="inlineStr">
        <is>
          <t>Resuelta</t>
        </is>
      </c>
      <c r="C62" s="68" t="n"/>
      <c r="D62" s="69" t="inlineStr">
        <is>
          <t>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is>
      </c>
      <c r="E62" s="69" t="inlineStr">
        <is>
          <t>9.2</t>
        </is>
      </c>
      <c r="F62" s="69" t="inlineStr">
        <is>
          <t>Equipo de desarrollo</t>
        </is>
      </c>
      <c r="G62" s="69" t="inlineStr">
        <is>
          <t>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is>
      </c>
    </row>
    <row r="63" ht="68.25" customHeight="1" s="36">
      <c r="A63" s="67" t="inlineStr">
        <is>
          <t>T-62</t>
        </is>
      </c>
      <c r="B63" s="68" t="inlineStr">
        <is>
          <t>Resuelta</t>
        </is>
      </c>
      <c r="C63" s="68" t="n"/>
      <c r="D63" s="69" t="inlineStr">
        <is>
          <t>RESUELTA (2026-08-27). El motivo de la transicion anterior explicaba la siguiente. — La primera version de tg_ledger_estado solo exigia que status_reason y status_changed_at no fueran nulos --y los dos SIGUEN en la fila despues del movimiento anterior--, asi que un UPDATE ...</t>
        </is>
      </c>
      <c r="E63" s="69" t="inlineStr">
        <is>
          <t>9.3</t>
        </is>
      </c>
      <c r="F63" s="69" t="inlineStr">
        <is>
          <t>Equipo de desarrollo</t>
        </is>
      </c>
      <c r="G63" s="69" t="inlineStr">
        <is>
          <t>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is>
      </c>
    </row>
    <row r="64" ht="68.25" customHeight="1" s="36">
      <c r="A64" s="67" t="inlineStr">
        <is>
          <t>T-63</t>
        </is>
      </c>
      <c r="B64" s="68" t="inlineStr">
        <is>
          <t>Resuelta</t>
        </is>
      </c>
      <c r="C64" s="68" t="n"/>
      <c r="D64" s="69" t="inlineStr">
        <is>
          <t>RESUELTA (2026-08-30). En campaign_costs el DELETE estaba cerrado y el UPDATE no. — El comentario de la tabla dice desde la Fase 2 que un costo mal tecleado «se anula, no se borra», porque el margen de ayer tiene que poder reconstruirse, y tg_cco_no_delete impedia el borrado.</t>
        </is>
      </c>
      <c r="E64" s="69" t="inlineStr">
        <is>
          <t>9.10a</t>
        </is>
      </c>
      <c r="F64" s="69" t="inlineStr">
        <is>
          <t>Equipo de desarrollo</t>
        </is>
      </c>
      <c r="G64" s="69" t="inlineStr">
        <is>
          <t>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is>
      </c>
    </row>
    <row r="65" ht="34.5" customHeight="1" s="36">
      <c r="A65" s="67" t="inlineStr">
        <is>
          <t>T-67</t>
        </is>
      </c>
      <c r="B65" s="68" t="inlineStr">
        <is>
          <t>Resuelta</t>
        </is>
      </c>
      <c r="C65" s="68" t="n"/>
      <c r="D65" s="69" t="inlineStr">
        <is>
          <t>RESUELTA (2026-08-31, iteracion 9.15). — Los archivos se guardaban desde la Fase 3 y no los servia nadie: la pantalla de conciliacion aceptaba el comprobante y la de gastos decia «con comprobante», sin enlace.</t>
        </is>
      </c>
      <c r="E65" s="69" t="inlineStr">
        <is>
          <t>9.15</t>
        </is>
      </c>
      <c r="F65" s="69" t="inlineStr">
        <is>
          <t>Equipo de desarrollo</t>
        </is>
      </c>
      <c r="G65" s="69" t="inlineStr">
        <is>
          <t>Ahora hay una sola puerta --/archivos/{uuid}-- con dos escalones: file.view deja pedir un archivo y el Vigilante decide cual, con la regla que registro el modulo dueño (DEC-197). Al probarlo salio que las fixturas creaban la fila y no el archivo, porque hasta hoy con la fila bastaba</t>
        </is>
      </c>
    </row>
    <row r="66" ht="45.75" customHeight="1" s="36">
      <c r="A66" s="67" t="inlineStr">
        <is>
          <t>T-72</t>
        </is>
      </c>
      <c r="B66" s="68" t="inlineStr">
        <is>
          <t>Resuelta</t>
        </is>
      </c>
      <c r="C66" s="68" t="n"/>
      <c r="D66" s="69" t="inlineStr">
        <is>
          <t>RESUELTA (2026-08-31, iteracion 9.17) el mismo dia que se abrio. Las clases de color de la marca no existian.</t>
        </is>
      </c>
      <c r="E66" s="69" t="inlineStr">
        <is>
          <t>9.17</t>
        </is>
      </c>
      <c r="F66" s="69" t="inlineStr">
        <is>
          <t>Equipo de desarrollo</t>
        </is>
      </c>
      <c r="G66" s="69" t="inlineStr">
        <is>
          <t>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is>
      </c>
    </row>
    <row r="67" ht="57" customHeight="1" s="36">
      <c r="A67" s="67" t="inlineStr">
        <is>
          <t>T-73</t>
        </is>
      </c>
      <c r="B67" s="68" t="inlineStr">
        <is>
          <t>Resuelta</t>
        </is>
      </c>
      <c r="C67" s="68" t="n"/>
      <c r="D67" s="69" t="inlineStr">
        <is>
          <t>RESUELTA (2026-08-31, iteracion 9.19). Reportada en PRODUCCION: una cobertura cerrada seguia tapando su ultimo dia.</t>
        </is>
      </c>
      <c r="E67" s="69" t="inlineStr">
        <is>
          <t>9.19</t>
        </is>
      </c>
      <c r="F67" s="69" t="inlineStr">
        <is>
          <t>Equipo de desarrollo</t>
        </is>
      </c>
      <c r="G67" s="69" t="inlineStr">
        <is>
          <t>Cobertura::abiertaEnPais() mira solo las coberturas abiertas; el disparador de no-solape mira todas. Se da de baja una sociedad --DEC-081 cierra sus coberturas con la fecha de la baja-- y al declarar la del sucesor ESE MISMO DIA la pantalla cree que el pais esta libre, no cierra nada, y el INSERT sale como un 45000 crudo. La prueba que ya existia no lo vio porque usa el dia SIGUIENTE al cierre, que es el caso que funciona. Arreglado con queTapaLaFecha() y un veto con palabras y con la fecha en la que si se puede. Se comprobo que la prueba de regresion falla sin el arreglo.</t>
        </is>
      </c>
    </row>
    <row r="68" ht="57.45" customHeight="1" s="36">
      <c r="A68" s="67" t="inlineStr">
        <is>
          <t>T-74</t>
        </is>
      </c>
      <c r="B68" s="68" t="inlineStr">
        <is>
          <t>Resuelta</t>
        </is>
      </c>
      <c r="C68" s="68" t="n"/>
      <c r="D68" s="69" t="inlineStr">
        <is>
          <t>RESUELTA (2026-08-31, iteracion 9.19b) el dia siguiente a abrirse. Core dejo de ser Core, y lo hice yo.</t>
        </is>
      </c>
      <c r="E68" s="69" t="inlineStr">
        <is>
          <t>9.19b</t>
        </is>
      </c>
      <c r="F68" s="69" t="inlineStr">
        <is>
          <t>Equipo de desarrollo</t>
        </is>
      </c>
      <c r="G68" s="69" t="inlineStr">
        <is>
          <t>En 9.19, Core\Services\Terminos leia creators.activated_at y recorria creators entera. deptrac dice Core: [Framework, Shared], y una consulta a la tabla de otro modulo es una frontera rota que deptrac NO VE: no hay clase importada, solo un nombre de tabla dentro de un DB::table(). Es exactamente la trampa contra la que avisa la cabecera del Vigilante, escrita en 9.15, y cai en ella cuatro iteraciones despues. No la vio ninguna de las seis puertas porque no hay herramienta que la vea, asi que el arreglo trae una prueba que LEE EL CODIGO FUENTE. De paso, el recuento hacia una consulta por creador; ahora es una.</t>
        </is>
      </c>
    </row>
    <row r="69">
      <c r="A69" s="67" t="inlineStr">
        <is>
          <t>T-75</t>
        </is>
      </c>
      <c r="B69" s="68" t="inlineStr">
        <is>
          <t>Resuelta</t>
        </is>
      </c>
      <c r="C69" s="68" t="n"/>
      <c r="D69" s="69" t="inlineStr">
        <is>
          <t>RESUELTA (2026-08-31, iteracion 9.17d). La pasada entera de pruebas SQL terminaba en silencio, y debajo verificar-periodos.py llevaba rojo desde 9.16.</t>
        </is>
      </c>
      <c r="E69" s="69" t="inlineStr">
        <is>
          <t>9.17d</t>
        </is>
      </c>
      <c r="F69" s="69" t="inlineStr">
        <is>
          <t>Equipo de desarrollo</t>
        </is>
      </c>
      <c r="G69" s="69" t="inlineStr">
        <is>
          <t>La ultima cifra que se leia era el TOTAL de las suites SQL, que NO cuenta los ocho verificadores que corren despues; el resultado global vivia solo en el codigo de salida. Debajo habia un fallo benigno: tver_sin_solape se declaro en 3.13 y se rehizo en 9.16 con el filtro published_at IS NOT NULL, pero Periodo::quitar era un metodo VACIO en recolectar-esquema.php, asi que el grabador apuntaba las dos declaraciones y el verificador exigia al esquema el texto de la version vieja. Lo peor no es el falso positivo: una comprobacion que da rojo siempre deja de leerse. Ahora quitar quita y la pasada cierra con una linea que dice cuantas fallaron.</t>
        </is>
      </c>
    </row>
    <row r="70">
      <c r="A70" s="67" t="inlineStr">
        <is>
          <t>T-76</t>
        </is>
      </c>
      <c r="B70" s="68" t="inlineStr">
        <is>
          <t>Resuelta</t>
        </is>
      </c>
      <c r="C70" s="68" t="n"/>
      <c r="D70" s="69" t="inlineStr">
        <is>
          <t>RESUELTA (2026-08-31, iteracion 9.12). Schema::dropIfExists() era otro metodo vacio del grabador de esquema.</t>
        </is>
      </c>
      <c r="E70" s="69" t="inlineStr">
        <is>
          <t>9.12</t>
        </is>
      </c>
      <c r="F70" s="69" t="inlineStr">
        <is>
          <t>Equipo de desarrollo</t>
        </is>
      </c>
      <c r="G70" s="69" t="inlineStr">
        <is>
          <t>verificar-migraciones.py acuso a document_series de crear la columna document_type de mas: la migracion de 9.12 suelta la tabla y la vuelve a crear con otra forma, pero el doble de Schema no soltaba nada, asi que el grabador recogia la union de las dos formas. Mismo archivo, mismo motivo y misma familia que T-75. La leccion: cada doble vacio del grabador es un falso positivo esperando, y un verificador que da rojo por algo que esta bien acaba ignorado.</t>
        </is>
      </c>
    </row>
    <row r="71">
      <c r="A71" s="67" t="inlineStr">
        <is>
          <t>T-77</t>
        </is>
      </c>
      <c r="B71" s="68" t="inlineStr">
        <is>
          <t>Resuelta</t>
        </is>
      </c>
      <c r="C71" s="68" t="n"/>
      <c r="D71" s="69" t="inlineStr">
        <is>
          <t>RESUELTA (2026-08-31, hotfix de 9.12). El sembrador reescribia lo que una persona ya habia configurado, y ademas reventaba.</t>
        </is>
      </c>
      <c r="E71" s="69" t="inlineStr">
        <is>
          <t>9.12 (hotfix)</t>
        </is>
      </c>
      <c r="F71" s="69" t="inlineStr">
        <is>
          <t>Equipo de desarrollo</t>
        </is>
      </c>
      <c r="G71" s="69" t="inlineStr">
        <is>
          <t>Reportada desde la instalacion: db:seed se paro con un 45000 porque updateOrInsert movia el valid_from de la fila ABIERTA de fx_official_sources encima de un periodo cerrado a mano (T-73 desde el otro lado). Lo que el error tapaba era peor: el sembrador murio en la linea 71 de 700, asi que los proveedores de 9.17d y los tipos de comprobante de 9.12 no llegaron a entrar. Y de fondo: cada db:seed --lo que el runbook manda tras cada migracion-- devolvia a fabrica el nombre, lema, colores y tipografia de la marca y la direccion de la sociedad, REGENERABA sus uuid y reactivaba fuentes y proveedores apagados a proposito. Regla nueva: lo que una persona puede cambiar se siembra si falta y no se toca si esta (sembrarSiFalta); donde hay vigencia, el periodo empieza el dia siguiente al ultimo cierre. 5 pruebas verificadas en rojo sin el arreglo.</t>
        </is>
      </c>
    </row>
    <row r="72">
      <c r="A72" s="67" t="inlineStr">
        <is>
          <t>T-78</t>
        </is>
      </c>
      <c r="B72" s="68" t="inlineStr">
        <is>
          <t>Abierta</t>
        </is>
      </c>
      <c r="C72" s="68" t="inlineStr">
        <is>
          <t>Media</t>
        </is>
      </c>
      <c r="D72" s="69" t="inlineStr">
        <is>
          <t>Convertir a route() las 390 direcciones escritas a mano en las pruebas.</t>
        </is>
      </c>
      <c r="E72" s="69" t="inlineStr">
        <is>
          <t>Al tocar cada archivo</t>
        </is>
      </c>
      <c r="F72" s="69" t="inlineStr">
        <is>
          <t>Equipo de desarrollo</t>
        </is>
      </c>
      <c r="G72" s="69" t="inlineStr">
        <is>
          <t>La mudanza a /backoffice fue gratis en la aplicacion --ni una URL a mano-- y costo 390 sustituciones en tests/, porque una prueba que escribe /clientes FIJA la URL. Se corrigieron con un guion que sale de la lista real de rutas movidas, y la primera pasada dejo dos fuera (/bitacora?tipo=..., con cadena de consulta) que cazo la suite. Mientras sigan siendo cadenas, la proxima mudanza costara lo mismo.</t>
        </is>
      </c>
    </row>
    <row r="73">
      <c r="A73" s="67" t="inlineStr">
        <is>
          <t>T-79</t>
        </is>
      </c>
      <c r="B73" s="68" t="inlineStr">
        <is>
          <t>Abierta</t>
        </is>
      </c>
      <c r="C73" s="68" t="inlineStr">
        <is>
          <t>Media</t>
        </is>
      </c>
      <c r="D73" s="69" t="inlineStr">
        <is>
          <t>ck_invoice_type sigue con los cuatro tipos peruanos escritos en el esquema.</t>
        </is>
      </c>
      <c r="E73" s="69" t="inlineStr">
        <is>
          <t>Con T-69</t>
        </is>
      </c>
      <c r="F73" s="69" t="inlineStr">
        <is>
          <t>Equipo de desarrollo</t>
        </is>
      </c>
      <c r="G73" s="69" t="inlineStr">
        <is>
          <t>invoice, boleta, credit_note y debit_note viven en un CHECK; un CFDI mexicano no cabe. Los tipos son DATOS desde 9.12 (document_types, con su pais y su codigo oficial), asi que la restriccion sobra: hay que cambiarla por una regla cruzada contra esa tabla. Se descubrio al escribir 9.9b y no se toco en la misma iteracion a proposito --cambiar un CHECK de una tabla que se acaba de reformar es dos cosas a la vez--.</t>
        </is>
      </c>
    </row>
    <row r="74">
      <c r="A74" s="67" t="inlineStr">
        <is>
          <t>T-80</t>
        </is>
      </c>
      <c r="B74" s="68" t="inlineStr">
        <is>
          <t>Resuelta</t>
        </is>
      </c>
      <c r="C74" s="68" t="n"/>
      <c r="D74" s="69" t="inlineStr">
        <is>
          <t>RESUELTA (2026-09-01, hotfix de 9.9b). Entrar con la contrasena correcta terminaba en 404 NOT FOUND.</t>
        </is>
      </c>
      <c r="E74" s="69" t="inlineStr">
        <is>
          <t>9.9b (hotfix)</t>
        </is>
      </c>
      <c r="F74" s="69" t="inlineStr">
        <is>
          <t>Equipo de desarrollo</t>
        </is>
      </c>
      <c r="G74" s="69" t="inlineStr">
        <is>
          <t>Reportado desde la instalacion: «el entrar me lleva a NOT FOUND». La sesion abria bien; fallaba el destino. redirect()-&gt;intended() obedece a la direccion guardada en la sesion aunque ya no exista, y desde 9.21a hay 149 que no existen: toda sesion abierta antes de desplegar la mudanza a /backoffice lleva guardado un /panel o un /creadores que hoy son 404. Le pasa a TODO EL MUNDO el dia del despliegue y a cada uno una sola vez, que es la peor forma de un fallo: se arregla solo antes de que nadie lo pueda reproducir. Ahora la direccion guardada tiene que ser del propio dominio y seguir resolviendo --se le pregunta al enrutador--; si no, al panel. Tambien se rechaza la que existe con otro verbo. 5 pruebas, 3 verificadas en rojo sin el arreglo.</t>
        </is>
      </c>
    </row>
    <row r="75">
      <c r="A75" s="67" t="inlineStr">
        <is>
          <t>T-81</t>
        </is>
      </c>
      <c r="B75" s="68" t="inlineStr">
        <is>
          <t>Resuelta</t>
        </is>
      </c>
      <c r="C75" s="68" t="n"/>
      <c r="D75" s="69" t="inlineStr">
        <is>
          <t>RESUELTA (2026-09-01, hotfix de 9.9b). La causa de verdad del 404 al entrar: dos URLs escritas a mano en bootstrap/app.php.</t>
        </is>
      </c>
      <c r="E75" s="69" t="inlineStr">
        <is>
          <t>9.9b (hotfix)</t>
        </is>
      </c>
      <c r="F75" s="69" t="inlineStr">
        <is>
          <t>Equipo de desarrollo</t>
        </is>
      </c>
      <c r="G75" s="69" t="inlineStr">
        <is>
          <t>T-80 arreglo una mitad (el url.intended viejo) y el fallo siguio. La otra era redirectUsersTo(/panel): quien YA tenia sesion y pulsaba Entrar caia en el middleware guest, que lo mandaba a /panel, que desde la mudanza no existe. 9.21a presumio de «ni una URL que corregir» y era casi verdad: docs/08 prohibe escribir URLs en las VISTAS, asi que las 149 pantallas se mudaron solas; nadie miro bootstrap/, que no es una vista, y la busqueda de entonces solo cubrio app/, resources/ y config/. Debajo habia algo peor: sincronizar NUNCA copiaba stage/bootstrap/, asi que ese directorio del arbol de entrega llevaba desde el 25 de agosto sin actualizarse --providers.php sin Campaign, Content ni Finance-- y nada de lo que hay dentro se probaba jamas. Ahora las dos direcciones salen del enrutador, sincronizar copia bootstrap/, y una prueba recorre bootstrap/ y config/ exigiendo que toda direccion escrita a mano la reconozca el enrutador. 8 pruebas, 2 verificadas en rojo sin el arreglo.</t>
        </is>
      </c>
    </row>
    <row r="76">
      <c r="A76" s="67" t="inlineStr">
        <is>
          <t>T-82</t>
        </is>
      </c>
      <c r="B76" s="68" t="inlineStr">
        <is>
          <t>Resuelta</t>
        </is>
      </c>
      <c r="C76" s="68" t="n"/>
      <c r="D76" s="69" t="inlineStr">
        <is>
          <t>RESUELTA (2026-09-01, iteracion 9.9c). Un CHECK que se apoya en una columna NULL no rechaza nada, y ya iba por la CUARTA vez.</t>
        </is>
      </c>
      <c r="E76" s="69" t="inlineStr">
        <is>
          <t>9.9c</t>
        </is>
      </c>
      <c r="F76" s="69" t="inlineStr">
        <is>
          <t>Equipo de desarrollo</t>
        </is>
      </c>
      <c r="G76" s="69" t="inlineStr">
        <is>
          <t>Un CHECK rechaza solo cuando la expresion es FALSA; cuando es NULL deja pasar. Y CHAR_LENGTH(TRIM(NULL)) es NULL, asi que «revocar exige motivo» escrito sin cuidado NO impide revocar sin motivo: la regla parece estar y no esta. Cometido en 9.12 (ck_dn_anulado), 9.21c (ck_clead_descartado), 9.9b (ck_invoice_void_reason) y 9.9c (ck_cert_revocado), y las cuatro veces lo descubrio una suite por casualidad. Ahora tools/verificar-nulos.py lee information_schema y caza toda columna nullable metida en una funcion que propaga NULL dentro de un CHECK que nunca la nombra junto a NULL. Admite las dos formas de haberlo pensado: col IS NOT NULL AND... y col IS NULL OR... Corre en correr-todo.sh.</t>
        </is>
      </c>
    </row>
  </sheetData>
  <autoFilter ref="A2:G65"/>
  <mergeCells count="1">
    <mergeCell ref="A1:G1"/>
  </mergeCells>
  <conditionalFormatting sqref="B3:B65">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5">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11" customWidth="1" style="35" min="2" max="2"/>
    <col width="10" customWidth="1" style="35" min="3" max="3"/>
    <col width="62" customWidth="1" style="35" min="4" max="4"/>
    <col width="32" customWidth="1" style="35" min="5" max="5"/>
    <col width="24" customWidth="1" style="35" min="6" max="6"/>
    <col width="110" customWidth="1" style="35" min="7" max="7"/>
  </cols>
  <sheetData>
    <row r="1" ht="33.75" customHeight="1" s="36">
      <c r="A1" s="63" t="inlineStr">
        <is>
          <t>Preguntas de negocio (Q-XX). Una pregunta abierta es trabajo que NO se puede hacer hasta que alguien decida. Las respondidas conservan la pregunta original detrás de la respuesta. Fuente: docs/05-DECISION-LOG.md.</t>
        </is>
      </c>
    </row>
    <row r="2" ht="24" customHeight="1" s="36">
      <c r="A2" s="64" t="inlineStr">
        <is>
          <t>ID</t>
        </is>
      </c>
      <c r="B2" s="64" t="inlineStr">
        <is>
          <t>Estado</t>
        </is>
      </c>
      <c r="C2" s="64" t="inlineStr">
        <is>
          <t>Prioridad</t>
        </is>
      </c>
      <c r="D2" s="64" t="inlineStr">
        <is>
          <t>Que hay que decidir</t>
        </is>
      </c>
      <c r="E2" s="64" t="inlineStr">
        <is>
          <t>Cuando hace falta</t>
        </is>
      </c>
      <c r="F2" s="64" t="inlineStr">
        <is>
          <t>Quien la desbloquea</t>
        </is>
      </c>
      <c r="G2" s="64" t="inlineStr">
        <is>
          <t>Detalle</t>
        </is>
      </c>
    </row>
    <row r="3" ht="34.5" customHeight="1" s="36">
      <c r="A3" s="67" t="inlineStr">
        <is>
          <t>Q-47</t>
        </is>
      </c>
      <c r="B3" s="68" t="inlineStr">
        <is>
          <t>Abierta</t>
        </is>
      </c>
      <c r="C3" s="68" t="n"/>
      <c r="D3" s="69" t="inlineStr">
        <is>
          <t>Abierto por la iteración 3.6.</t>
        </is>
      </c>
      <c r="E3" s="69" t="inlineStr">
        <is>
          <t>Iteración de rechazo de creadores</t>
        </is>
      </c>
      <c r="F3" s="69" t="inlineStr">
        <is>
          <t>Tu (decision de negocio)</t>
        </is>
      </c>
      <c r="G3" s="69" t="inlineStr">
        <is>
          <t>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is>
      </c>
    </row>
    <row r="4" ht="45.75" customHeight="1" s="36">
      <c r="A4" s="67" t="inlineStr">
        <is>
          <t>Q-50</t>
        </is>
      </c>
      <c r="B4" s="68" t="inlineStr">
        <is>
          <t>Abierta</t>
        </is>
      </c>
      <c r="C4" s="68" t="n"/>
      <c r="D4" s="69" t="inlineStr">
        <is>
          <t>¿campaign_creators, agreement_amendments, domain_events y status_transitions son evidencia?</t>
        </is>
      </c>
      <c r="E4" s="69" t="inlineStr">
        <is>
          <t>Al construir el módulo de campañas</t>
        </is>
      </c>
      <c r="F4" s="69" t="inlineStr">
        <is>
          <t>Tu (decision de negocio)</t>
        </is>
      </c>
      <c r="G4" s="69" t="inlineStr">
        <is>
          <t>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is>
      </c>
    </row>
    <row r="5" ht="45.75" customHeight="1" s="36">
      <c r="A5" s="67" t="inlineStr">
        <is>
          <t>Q-52</t>
        </is>
      </c>
      <c r="B5" s="68" t="inlineStr">
        <is>
          <t>Abierta</t>
        </is>
      </c>
      <c r="C5" s="68" t="n"/>
      <c r="D5" s="69" t="inlineStr">
        <is>
          <t>¿Un cliente debería exigir contacto principal de facturación antes de poder estar active?</t>
        </is>
      </c>
      <c r="E5" s="69" t="inlineStr">
        <is>
          <t>Facturación (F9)</t>
        </is>
      </c>
      <c r="F5" s="69" t="inlineStr">
        <is>
          <t>Tu (decision de negocio)</t>
        </is>
      </c>
      <c r="G5" s="69" t="inlineStr">
        <is>
          <t>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is>
      </c>
    </row>
    <row r="6" ht="45.75" customHeight="1" s="36">
      <c r="A6" s="67" t="inlineStr">
        <is>
          <t>Q-53</t>
        </is>
      </c>
      <c r="B6" s="68" t="inlineStr">
        <is>
          <t>Abierta</t>
        </is>
      </c>
      <c r="C6" s="68" t="n"/>
      <c r="D6" s="69" t="inlineStr">
        <is>
          <t>¿El mismo correo repetido dentro del mismo cliente y tipo es un error?</t>
        </is>
      </c>
      <c r="E6" s="69" t="inlineStr">
        <is>
          <t>Importación de clientes</t>
        </is>
      </c>
      <c r="F6" s="69" t="inlineStr">
        <is>
          <t>Tu (decision de negocio)</t>
        </is>
      </c>
      <c r="G6" s="69" t="inlineStr">
        <is>
          <t>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is>
      </c>
    </row>
    <row r="7" ht="45.75" customHeight="1" s="36">
      <c r="A7" s="67" t="inlineStr">
        <is>
          <t>Q-54</t>
        </is>
      </c>
      <c r="B7" s="68" t="inlineStr">
        <is>
          <t>Abierta</t>
        </is>
      </c>
      <c r="C7" s="68" t="n"/>
      <c r="D7" s="69" t="inlineStr">
        <is>
          <t>¿Se puede corregir un periodo fiscal ya CERRADO?</t>
        </is>
      </c>
      <c r="E7" s="69" t="inlineStr">
        <is>
          <t>Primera correccion real de un histórico</t>
        </is>
      </c>
      <c r="F7" s="69" t="inlineStr">
        <is>
          <t>Tu (decision de negocio)</t>
        </is>
      </c>
      <c r="G7" s="69" t="inlineStr">
        <is>
          <t>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is>
      </c>
    </row>
    <row r="8" ht="45.75" customHeight="1" s="36">
      <c r="A8" s="67" t="inlineStr">
        <is>
          <t>Q-55</t>
        </is>
      </c>
      <c r="B8" s="68" t="inlineStr">
        <is>
          <t>Abierta</t>
        </is>
      </c>
      <c r="C8" s="68" t="n"/>
      <c r="D8" s="69" t="inlineStr">
        <is>
          <t>¿Se valida el formato del documento fiscal por país?</t>
        </is>
      </c>
      <c r="E8" s="69" t="inlineStr">
        <is>
          <t>Alta de clientes en el segundo país</t>
        </is>
      </c>
      <c r="F8" s="69" t="inlineStr">
        <is>
          <t>Tu (decision de negocio)</t>
        </is>
      </c>
      <c r="G8" s="69" t="inlineStr">
        <is>
          <t>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is>
      </c>
    </row>
    <row r="9" ht="68.25" customHeight="1" s="36">
      <c r="A9" s="67" t="inlineStr">
        <is>
          <t>Q-56</t>
        </is>
      </c>
      <c r="B9" s="68" t="inlineStr">
        <is>
          <t>Abierta</t>
        </is>
      </c>
      <c r="C9" s="68" t="n"/>
      <c r="D9" s="69" t="inlineStr">
        <is>
          <t>.deliverable_versions es evidencia?</t>
        </is>
      </c>
      <c r="E9" s="69" t="inlineStr">
        <is>
          <t>8.1</t>
        </is>
      </c>
      <c r="F9" s="69" t="inlineStr">
        <is>
          <t>Tu (decision de negocio)</t>
        </is>
      </c>
      <c r="G9" s="69" t="inlineStr">
        <is>
          <t>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is>
      </c>
    </row>
    <row r="10" ht="45.75" customHeight="1" s="36">
      <c r="A10" s="67" t="inlineStr">
        <is>
          <t>Q-57</t>
        </is>
      </c>
      <c r="B10" s="68" t="inlineStr">
        <is>
          <t>Abierta</t>
        </is>
      </c>
      <c r="C10" s="68" t="n"/>
      <c r="D10" s="69" t="inlineStr">
        <is>
          <t>.Donde acaba la linea del cargo por una ronda de correccion de mas?</t>
        </is>
      </c>
      <c r="E10" s="69" t="inlineStr">
        <is>
          <t>8.3</t>
        </is>
      </c>
      <c r="F10" s="69" t="inlineStr">
        <is>
          <t>Tu (decision de negocio)</t>
        </is>
      </c>
      <c r="G10" s="69" t="inlineStr">
        <is>
          <t>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is>
      </c>
    </row>
    <row r="11" ht="34.5" customHeight="1" s="36">
      <c r="A11" s="67" t="inlineStr">
        <is>
          <t>Q-58</t>
        </is>
      </c>
      <c r="B11" s="68" t="inlineStr">
        <is>
          <t>Abierta</t>
        </is>
      </c>
      <c r="C11" s="68" t="n"/>
      <c r="D11" s="69" t="inlineStr">
        <is>
          <t>.Se puede reabrir un entregable ya PUBLICADO o VERIFICADO?</t>
        </is>
      </c>
      <c r="E11" s="69" t="inlineStr">
        <is>
          <t>8.2</t>
        </is>
      </c>
      <c r="F11" s="69" t="inlineStr">
        <is>
          <t>Tu (decision de negocio)</t>
        </is>
      </c>
      <c r="G11" s="69" t="inlineStr">
        <is>
          <t>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is>
      </c>
    </row>
    <row r="12" ht="34.5" customHeight="1" s="36">
      <c r="A12" s="67" t="inlineStr">
        <is>
          <t>Q-59</t>
        </is>
      </c>
      <c r="B12" s="68" t="inlineStr">
        <is>
          <t>Abierta</t>
        </is>
      </c>
      <c r="C12" s="68" t="n"/>
      <c r="D12" s="69" t="inlineStr">
        <is>
          <t>¿La ventana de permanencia se alarga por los dias que el post estuvo caido?</t>
        </is>
      </c>
      <c r="E12" s="69" t="inlineStr">
        <is>
          <t>Con el contrato del creador</t>
        </is>
      </c>
      <c r="F12" s="69" t="inlineStr">
        <is>
          <t>Tu (decision de negocio)</t>
        </is>
      </c>
      <c r="G12" s="69" t="inlineStr">
        <is>
          <t>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is>
      </c>
    </row>
    <row r="13" ht="34.5" customHeight="1" s="36">
      <c r="A13" s="67" t="inlineStr">
        <is>
          <t>Q-60</t>
        </is>
      </c>
      <c r="B13" s="68" t="inlineStr">
        <is>
          <t>Abierta</t>
        </is>
      </c>
      <c r="C13" s="68" t="n"/>
      <c r="D13" s="69" t="inlineStr">
        <is>
          <t>¿deliverables.revision_rounds_used deberia existir?</t>
        </is>
      </c>
      <c r="E13" s="69" t="inlineStr">
        <is>
          <t>Facturacion (F9)</t>
        </is>
      </c>
      <c r="F13" s="69" t="inlineStr">
        <is>
          <t>Tu contador</t>
        </is>
      </c>
      <c r="G13" s="69" t="inlineStr">
        <is>
          <t>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is>
      </c>
    </row>
    <row r="14" ht="34.5" customHeight="1" s="36">
      <c r="A14" s="67" t="inlineStr">
        <is>
          <t>Q-61</t>
        </is>
      </c>
      <c r="B14" s="68" t="inlineStr">
        <is>
          <t>Abierta</t>
        </is>
      </c>
      <c r="C14" s="68" t="n"/>
      <c r="D14" s="69" t="inlineStr">
        <is>
          <t>¿Como se marca una ronda de mas como facturada?</t>
        </is>
      </c>
      <c r="E14" s="69" t="inlineStr">
        <is>
          <t>Facturacion (F9)</t>
        </is>
      </c>
      <c r="F14" s="69" t="inlineStr">
        <is>
          <t>Tu (decision de negocio)</t>
        </is>
      </c>
      <c r="G14" s="69" t="inlineStr">
        <is>
          <t>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is>
      </c>
    </row>
    <row r="15" ht="57" customHeight="1" s="36">
      <c r="A15" s="67" t="inlineStr">
        <is>
          <t>Q-62</t>
        </is>
      </c>
      <c r="B15" s="68" t="inlineStr">
        <is>
          <t>Abierta</t>
        </is>
      </c>
      <c r="C15" s="68" t="n"/>
      <c r="D15" s="69" t="inlineStr">
        <is>
          <t>.Que pasa si una fuente CORRIGE una tasa ya publicada?</t>
        </is>
      </c>
      <c r="E15" s="69" t="inlineStr">
        <is>
          <t>Primera errata real de la fuente</t>
        </is>
      </c>
      <c r="F15" s="69" t="inlineStr">
        <is>
          <t>Tu contador</t>
        </is>
      </c>
      <c r="G15" s="69" t="inlineStr">
        <is>
          <t>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is>
      </c>
    </row>
    <row r="16" ht="34.5" customHeight="1" s="36">
      <c r="A16" s="67" t="inlineStr">
        <is>
          <t>Q-64</t>
        </is>
      </c>
      <c r="B16" s="68" t="inlineStr">
        <is>
          <t>Abierta</t>
        </is>
      </c>
      <c r="C16" s="68" t="n"/>
      <c r="D16" s="69" t="inlineStr">
        <is>
          <t>.De donde salen los pares que Decolecta no trae?</t>
        </is>
      </c>
      <c r="E16" s="69" t="inlineStr">
        <is>
          <t>Primera campana en COP o MXN</t>
        </is>
      </c>
      <c r="F16" s="69" t="inlineStr">
        <is>
          <t>Tu contador</t>
        </is>
      </c>
      <c r="G16" s="69" t="inlineStr">
        <is>
          <t>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is>
      </c>
    </row>
    <row r="17" ht="34.5" customHeight="1" s="36">
      <c r="A17" s="67" t="inlineStr">
        <is>
          <t>Q-01</t>
        </is>
      </c>
      <c r="B17" s="68" t="inlineStr">
        <is>
          <t>Resuelta</t>
        </is>
      </c>
      <c r="C17" s="68" t="n"/>
      <c r="D17" s="69" t="inlineStr">
        <is>
          <t>RESPONDIDA (2026-08-30).</t>
        </is>
      </c>
      <c r="E17" s="69" t="inlineStr">
        <is>
          <t>Respondida</t>
        </is>
      </c>
      <c r="F17" s="69" t="inlineStr">
        <is>
          <t>Tu (decision de negocio)</t>
        </is>
      </c>
      <c r="G17" s="69" t="inlineStr">
        <is>
          <t>Se les AYUDA a sacar el RUC, y es uno de los beneficios que se anuncian en la landing y en los terminos. No hay pago informal: el camino es formalizar al creador, no esquivar la formalidad. *Pregunta original:* ¿Cómo se pagará legalmente a creadores sin RUC? (DEC-005)</t>
        </is>
      </c>
    </row>
    <row r="18" ht="23.25" customHeight="1" s="36">
      <c r="A18" s="67" t="inlineStr">
        <is>
          <t>Q-02</t>
        </is>
      </c>
      <c r="B18" s="68" t="inlineStr">
        <is>
          <t>Resuelta</t>
        </is>
      </c>
      <c r="C18" s="68" t="n"/>
      <c r="D18" s="69" t="inlineStr">
        <is>
          <t>RESPONDIDA (2026-08-30).</t>
        </is>
      </c>
      <c r="E18" s="69" t="inlineStr">
        <is>
          <t>Respondida</t>
        </is>
      </c>
      <c r="F18" s="69" t="inlineStr">
        <is>
          <t>Tu (decision de negocio)</t>
        </is>
      </c>
      <c r="G18" s="69" t="inlineStr">
        <is>
          <t>Se factura la CAMPANA COMPLETA al cliente, no el servicio de cada creador por separado. *Pregunta original:* ¿El operador factura la campaña completa o solo su servicio? (DEC-004)</t>
        </is>
      </c>
    </row>
    <row r="19" ht="57" customHeight="1" s="36">
      <c r="A19" s="67" t="inlineStr">
        <is>
          <t>Q-03</t>
        </is>
      </c>
      <c r="B19" s="68" t="inlineStr">
        <is>
          <t>Resuelta</t>
        </is>
      </c>
      <c r="C19" s="68" t="n"/>
      <c r="D19" s="69" t="inlineStr">
        <is>
          <t>RESPONDIDA (2026-08-30).</t>
        </is>
      </c>
      <c r="E19" s="69" t="inlineStr">
        <is>
          <t>Respondida</t>
        </is>
      </c>
      <c r="F19" s="69" t="inlineStr">
        <is>
          <t>Tu contador</t>
        </is>
      </c>
      <c r="G19" s="69" t="inlineStr">
        <is>
          <t>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is>
      </c>
    </row>
    <row r="20" ht="23.25" customHeight="1" s="36">
      <c r="A20" s="67" t="inlineStr">
        <is>
          <t>Q-04</t>
        </is>
      </c>
      <c r="B20" s="68" t="inlineStr">
        <is>
          <t>Resuelta</t>
        </is>
      </c>
      <c r="C20" s="68" t="n"/>
      <c r="D20" s="69" t="inlineStr">
        <is>
          <t>RESPONDIDA (2026-08-30).</t>
        </is>
      </c>
      <c r="E20" s="69" t="inlineStr">
        <is>
          <t>Respondida</t>
        </is>
      </c>
      <c r="F20" s="69" t="inlineStr">
        <is>
          <t>Tu (decision de negocio)</t>
        </is>
      </c>
      <c r="G20" s="69" t="inlineStr">
        <is>
          <t>Por ahora NO hay clientes que quieran pagar con tarjeta. *Pregunta original:* ¿Existen clientes que quieran pagar con tarjeta? (DEC-007)</t>
        </is>
      </c>
    </row>
    <row r="21" ht="15" customHeight="1" s="36">
      <c r="A21" s="67" t="inlineStr">
        <is>
          <t>Q-05</t>
        </is>
      </c>
      <c r="B21" s="68" t="inlineStr">
        <is>
          <t>Resuelta</t>
        </is>
      </c>
      <c r="C21" s="68" t="n"/>
      <c r="D21" s="69" t="inlineStr">
        <is>
          <t>30 días por defecto, configurable por creador.</t>
        </is>
      </c>
      <c r="E21" s="69" t="inlineStr">
        <is>
          <t>—</t>
        </is>
      </c>
      <c r="F21" s="69" t="inlineStr">
        <is>
          <t>Tu (decision de negocio)</t>
        </is>
      </c>
      <c r="G21" s="69" t="inlineStr">
        <is>
          <t>Visible al aceptar la campaña</t>
        </is>
      </c>
    </row>
    <row r="22" ht="15" customHeight="1" s="36">
      <c r="A22" s="67" t="inlineStr">
        <is>
          <t>Q-06</t>
        </is>
      </c>
      <c r="B22" s="68" t="inlineStr">
        <is>
          <t>Resuelta</t>
        </is>
      </c>
      <c r="C22" s="68" t="n"/>
      <c r="D22" s="69" t="inlineStr">
        <is>
          <t>Contrato por campaña</t>
        </is>
      </c>
      <c r="E22" s="69" t="inlineStr">
        <is>
          <t>—</t>
        </is>
      </c>
      <c r="F22" s="69" t="inlineStr">
        <is>
          <t>Tu (decision de negocio)</t>
        </is>
      </c>
      <c r="G22" s="69" t="inlineStr">
        <is>
          <t>, sin acuerdos marco</t>
        </is>
      </c>
    </row>
    <row r="23" ht="15" customHeight="1" s="36">
      <c r="A23" s="67" t="inlineStr">
        <is>
          <t>Q-07</t>
        </is>
      </c>
      <c r="B23" s="68" t="inlineStr">
        <is>
          <t>Resuelta</t>
        </is>
      </c>
      <c r="C23" s="68" t="n"/>
      <c r="D23" s="69" t="inlineStr">
        <is>
          <t>Sí, con autorización firmada del tutor</t>
        </is>
      </c>
      <c r="E23" s="69" t="inlineStr">
        <is>
          <t>—</t>
        </is>
      </c>
      <c r="F23" s="69" t="inlineStr">
        <is>
          <t>Tu (decision de negocio)</t>
        </is>
      </c>
      <c r="G23" s="69" t="inlineStr">
        <is>
          <t>; se paga a nombre del tutor. Requiere documento del tutor y acreditación de parentesco. Abre modelado nuevo: ver docs/16 §3.1</t>
        </is>
      </c>
    </row>
    <row r="24" ht="15" customHeight="1" s="36">
      <c r="A24" s="67" t="inlineStr">
        <is>
          <t>Q-08</t>
        </is>
      </c>
      <c r="B24" s="68" t="inlineStr">
        <is>
          <t>Resuelta</t>
        </is>
      </c>
      <c r="C24" s="68" t="n"/>
      <c r="D24" s="69" t="inlineStr">
        <is>
          <t>2 rondas</t>
        </is>
      </c>
      <c r="E24" s="69" t="inlineStr">
        <is>
          <t>—</t>
        </is>
      </c>
      <c r="F24" s="69" t="inlineStr">
        <is>
          <t>Tu (decision de negocio)</t>
        </is>
      </c>
      <c r="G24" s="69" t="inlineStr">
        <is>
          <t>incluidas en el precio</t>
        </is>
      </c>
    </row>
    <row r="25" ht="15" customHeight="1" s="36">
      <c r="A25" s="67" t="inlineStr">
        <is>
          <t>Q-09</t>
        </is>
      </c>
      <c r="B25" s="68" t="inlineStr">
        <is>
          <t>Resuelta</t>
        </is>
      </c>
      <c r="C25" s="68" t="n"/>
      <c r="D25" s="69" t="inlineStr">
        <is>
          <t>Se define por campaña y por red.</t>
        </is>
      </c>
      <c r="E25" s="69" t="inlineStr">
        <is>
          <t>—</t>
        </is>
      </c>
      <c r="F25" s="69" t="inlineStr">
        <is>
          <t>Tu (decision de negocio)</t>
        </is>
      </c>
      <c r="G25" s="69" t="inlineStr">
        <is>
          <t>El creador adjunta el enlace y el sistema lo valida — con los límites de docs/16 §3.2</t>
        </is>
      </c>
    </row>
    <row r="26" ht="23.25" customHeight="1" s="36">
      <c r="A26" s="67" t="inlineStr">
        <is>
          <t>Q-10</t>
        </is>
      </c>
      <c r="B26" s="68" t="inlineStr">
        <is>
          <t>Resuelta</t>
        </is>
      </c>
      <c r="C26" s="68" t="n"/>
      <c r="D26" s="69" t="inlineStr">
        <is>
          <t>RESPONDIDA (2026-08-30).</t>
        </is>
      </c>
      <c r="E26" s="69" t="inlineStr">
        <is>
          <t>Respondida</t>
        </is>
      </c>
      <c r="F26" s="69" t="inlineStr">
        <is>
          <t>Tu (decision de negocio)</t>
        </is>
      </c>
      <c r="G26" s="69" t="inlineStr">
        <is>
          <t>Cada creador asume el costo de produccion de sus entregables. *Pregunta original:* ¿Quién asume el costo del producto enviado y de la logística?</t>
        </is>
      </c>
    </row>
    <row r="27" ht="15" customHeight="1" s="36">
      <c r="A27" s="67" t="inlineStr">
        <is>
          <t>Q-11</t>
        </is>
      </c>
      <c r="B27" s="68" t="inlineStr">
        <is>
          <t>Resuelta</t>
        </is>
      </c>
      <c r="C27" s="68" t="n"/>
      <c r="D27" s="69" t="inlineStr">
        <is>
          <t>No hay base previa.</t>
        </is>
      </c>
      <c r="E27" s="69" t="inlineStr">
        <is>
          <t>—</t>
        </is>
      </c>
      <c r="F27" s="69" t="inlineStr">
        <is>
          <t>Tu (decision de negocio)</t>
        </is>
      </c>
      <c r="G27" s="69" t="inlineStr">
        <is>
          <t>Plantilla entregada: tools/plantilla-importacion-creadores.csv</t>
        </is>
      </c>
    </row>
    <row r="28" ht="34.5" customHeight="1" s="36">
      <c r="A28" s="67" t="inlineStr">
        <is>
          <t>Q-12</t>
        </is>
      </c>
      <c r="B28" s="68" t="inlineStr">
        <is>
          <t>Resuelta</t>
        </is>
      </c>
      <c r="C28" s="68" t="n"/>
      <c r="D28" s="69" t="inlineStr">
        <is>
          <t>RESPONDIDA (2026-08-30).</t>
        </is>
      </c>
      <c r="E28" s="69" t="inlineStr">
        <is>
          <t>Respondida</t>
        </is>
      </c>
      <c r="F28" s="69" t="inlineStr">
        <is>
          <t>Tu (decision de negocio)</t>
        </is>
      </c>
      <c r="G28" s="69" t="inlineStr">
        <is>
          <t>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is>
      </c>
    </row>
    <row r="29" ht="34.5" customHeight="1" s="36">
      <c r="A29" s="67" t="inlineStr">
        <is>
          <t>Q-13</t>
        </is>
      </c>
      <c r="B29" s="68" t="inlineStr">
        <is>
          <t>Resuelta</t>
        </is>
      </c>
      <c r="C29" s="68" t="n"/>
      <c r="D29" s="69" t="inlineStr">
        <is>
          <t>RESPONDIDA (2026-08-30).</t>
        </is>
      </c>
      <c r="E29" s="69" t="inlineStr">
        <is>
          <t>Respondida</t>
        </is>
      </c>
      <c r="F29" s="69" t="inlineStr">
        <is>
          <t>Tu contador</t>
        </is>
      </c>
      <c r="G29" s="69" t="inlineStr">
        <is>
          <t>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is>
      </c>
    </row>
    <row r="30" ht="15" customHeight="1" s="36">
      <c r="A30" s="67" t="inlineStr">
        <is>
          <t>Q-14</t>
        </is>
      </c>
      <c r="B30" s="68" t="inlineStr">
        <is>
          <t>Resuelta</t>
        </is>
      </c>
      <c r="C30" s="68" t="n"/>
      <c r="D30" s="69" t="inlineStr">
        <is>
          <t>Sí</t>
        </is>
      </c>
      <c r="E30" s="69" t="inlineStr">
        <is>
          <t>—</t>
        </is>
      </c>
      <c r="F30" s="69" t="inlineStr">
        <is>
          <t>Tu (decision de negocio)</t>
        </is>
      </c>
      <c r="G30" s="69" t="inlineStr">
        <is>
          <t>, exportación de servicios</t>
        </is>
      </c>
    </row>
    <row r="31" ht="15" customHeight="1" s="36">
      <c r="A31" s="67" t="inlineStr">
        <is>
          <t>Q-15</t>
        </is>
      </c>
      <c r="B31" s="68" t="inlineStr">
        <is>
          <t>Resuelta</t>
        </is>
      </c>
      <c r="C31" s="68" t="n"/>
      <c r="D31" s="69" t="inlineStr">
        <is>
          <t>CTS Perú → PE, EC, CL, MX, US</t>
        </is>
      </c>
      <c r="E31" s="69" t="inlineStr">
        <is>
          <t>—</t>
        </is>
      </c>
      <c r="F31" s="69" t="inlineStr">
        <is>
          <t>Tu (decision de negocio)</t>
        </is>
      </c>
      <c r="G31" s="69" t="inlineStr">
        <is>
          <t>· CTS Colombia → CO (ya constituida)</t>
        </is>
      </c>
    </row>
    <row r="32" ht="15" customHeight="1" s="36">
      <c r="A32" s="67" t="inlineStr">
        <is>
          <t>Q-16</t>
        </is>
      </c>
      <c r="B32" s="68" t="inlineStr">
        <is>
          <t>Resuelta</t>
        </is>
      </c>
      <c r="C32" s="68" t="n"/>
      <c r="D32" s="69" t="inlineStr">
        <is>
          <t>SUNAT directo</t>
        </is>
      </c>
      <c r="E32" s="69" t="inlineStr">
        <is>
          <t>—</t>
        </is>
      </c>
      <c r="F32" s="69" t="inlineStr">
        <is>
          <t>Tu contador</t>
        </is>
      </c>
      <c r="G32" s="69" t="inlineStr">
        <is>
          <t>en Perú y DIAN directo en Colombia. Sobre Colombia tengo una objeción: docs/16 §2.3</t>
        </is>
      </c>
    </row>
    <row r="33" ht="34.5" customHeight="1" s="36">
      <c r="A33" s="67" t="inlineStr">
        <is>
          <t>Q-17</t>
        </is>
      </c>
      <c r="B33" s="68" t="inlineStr">
        <is>
          <t>Resuelta</t>
        </is>
      </c>
      <c r="C33" s="68" t="n"/>
      <c r="D33" s="69" t="inlineStr">
        <is>
          <t>RESPONDIDA (2026-08-30).</t>
        </is>
      </c>
      <c r="E33" s="69" t="inlineStr">
        <is>
          <t>Respondida</t>
        </is>
      </c>
      <c r="F33" s="69" t="inlineStr">
        <is>
          <t>Tu (decision de negocio)</t>
        </is>
      </c>
      <c r="G33" s="69" t="inlineStr">
        <is>
          <t>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is>
      </c>
    </row>
    <row r="34" ht="23.25" customHeight="1" s="36">
      <c r="A34" s="67" t="inlineStr">
        <is>
          <t>Q-18</t>
        </is>
      </c>
      <c r="B34" s="68" t="inlineStr">
        <is>
          <t>Resuelta</t>
        </is>
      </c>
      <c r="C34" s="68" t="n"/>
      <c r="D34" s="69" t="inlineStr">
        <is>
          <t>RESPONDIDA (2026-08-30).</t>
        </is>
      </c>
      <c r="E34" s="69" t="inlineStr">
        <is>
          <t>Respondida</t>
        </is>
      </c>
      <c r="F34" s="69" t="inlineStr">
        <is>
          <t>Tu (decision de negocio)</t>
        </is>
      </c>
      <c r="G34" s="69" t="inlineStr">
        <is>
          <t>Es el nombre comercial. *Pregunta original:* ¿"LATAM Social" es marca registrada, y a nombre de qué sociedad? Afecta contratos y licencias de contenido.</t>
        </is>
      </c>
    </row>
    <row r="35" ht="15" customHeight="1" s="36">
      <c r="A35" s="67" t="inlineStr">
        <is>
          <t>Q-19</t>
        </is>
      </c>
      <c r="B35" s="68" t="inlineStr">
        <is>
          <t>Resuelta</t>
        </is>
      </c>
      <c r="C35" s="68" t="n"/>
      <c r="D35" s="69" t="inlineStr">
        <is>
          <t>Perú: invoicing y exchange_rate.</t>
        </is>
      </c>
      <c r="E35" s="69" t="inlineStr">
        <is>
          <t>—</t>
        </is>
      </c>
      <c r="F35" s="69" t="inlineStr">
        <is>
          <t>Tu (decision de negocio)</t>
        </is>
      </c>
      <c r="G35" s="69" t="inlineStr">
        <is>
          <t>Colombia: opcionales</t>
        </is>
      </c>
    </row>
    <row r="36" ht="23.25" customHeight="1" s="36">
      <c r="A36" s="67" t="inlineStr">
        <is>
          <t>Q-20</t>
        </is>
      </c>
      <c r="B36" s="68" t="inlineStr">
        <is>
          <t>Resuelta</t>
        </is>
      </c>
      <c r="C36" s="68" t="n"/>
      <c r="D36" s="69" t="inlineStr">
        <is>
          <t>SMTP Google Workspace · almacenamiento sin contratar · tipo de cambio Decolecta.</t>
        </is>
      </c>
      <c r="E36" s="69" t="inlineStr">
        <is>
          <t>—</t>
        </is>
      </c>
      <c r="F36" s="69" t="inlineStr">
        <is>
          <t>Tu (decision de negocio)</t>
        </is>
      </c>
      <c r="G36" s="69" t="inlineStr">
        <is>
          <t>Dos reservas en docs/16 §3.3 y §3.4</t>
        </is>
      </c>
    </row>
    <row r="37" ht="23.25" customHeight="1" s="36">
      <c r="A37" s="67" t="inlineStr">
        <is>
          <t>Q-21</t>
        </is>
      </c>
      <c r="B37" s="68" t="inlineStr">
        <is>
          <t>Resuelta</t>
        </is>
      </c>
      <c r="C37" s="68" t="n"/>
      <c r="D37" s="69" t="inlineStr">
        <is>
          <t>RESPONDIDA (2026-08-30).</t>
        </is>
      </c>
      <c r="E37" s="69" t="inlineStr">
        <is>
          <t>Respondida</t>
        </is>
      </c>
      <c r="F37" s="69" t="inlineStr">
        <is>
          <t>Tu contador</t>
        </is>
      </c>
      <c r="G37" s="69" t="inlineStr">
        <is>
          <t>Resuelta por Q-03: no hay proveedor intermedio, se timbra directo con SUNAT y todo es configurable. *Pregunta original:* ¿El proveedor de facturación electrónica permite una cuenta por sociedad, o exige contrato separado por RUC?</t>
        </is>
      </c>
    </row>
    <row r="38" ht="15" customHeight="1" s="36">
      <c r="A38" s="67" t="inlineStr">
        <is>
          <t>Q-22</t>
        </is>
      </c>
      <c r="B38" s="68" t="inlineStr">
        <is>
          <t>Resuelta</t>
        </is>
      </c>
      <c r="C38" s="68" t="n"/>
      <c r="D38" s="69" t="inlineStr">
        <is>
          <t>100% interna</t>
        </is>
      </c>
      <c r="E38" s="69" t="inlineStr">
        <is>
          <t>—</t>
        </is>
      </c>
      <c r="F38" s="69" t="inlineStr">
        <is>
          <t>Tu (decision de negocio)</t>
        </is>
      </c>
      <c r="G38" s="69" t="n"/>
    </row>
    <row r="39" ht="23.25" customHeight="1" s="36">
      <c r="A39" s="67" t="inlineStr">
        <is>
          <t>Q-23</t>
        </is>
      </c>
      <c r="B39" s="68" t="inlineStr">
        <is>
          <t>Resuelta</t>
        </is>
      </c>
      <c r="C39" s="68" t="n"/>
      <c r="D39" s="69" t="inlineStr">
        <is>
          <t>RESPONDIDA (2026-08-30).</t>
        </is>
      </c>
      <c r="E39" s="69" t="inlineStr">
        <is>
          <t>Respondida</t>
        </is>
      </c>
      <c r="F39" s="69" t="inlineStr">
        <is>
          <t>Tu (decision de negocio)</t>
        </is>
      </c>
      <c r="G39" s="69" t="inlineStr">
        <is>
          <t>La gamificacion premia con reconocimiento. *Pregunta original:* ¿Qué desbloquea realmente el nivel? Define si la gamificación es reconocimiento o política comercial.</t>
        </is>
      </c>
    </row>
    <row r="40" ht="34.5" customHeight="1" s="36">
      <c r="A40" s="67" t="inlineStr">
        <is>
          <t>Q-24</t>
        </is>
      </c>
      <c r="B40" s="68" t="inlineStr">
        <is>
          <t>Resuelta</t>
        </is>
      </c>
      <c r="C40" s="68" t="n"/>
      <c r="D40" s="69" t="inlineStr">
        <is>
          <t>RESPONDIDA (2026-08-30).</t>
        </is>
      </c>
      <c r="E40" s="69" t="inlineStr">
        <is>
          <t>Respondida</t>
        </is>
      </c>
      <c r="F40" s="69" t="inlineStr">
        <is>
          <t>Tu (decision de negocio)</t>
        </is>
      </c>
      <c r="G40" s="69" t="inlineStr">
        <is>
          <t>Por ahora no hay premios en dinero. Habra un catalogo de premios canjeables con XP --viajes, cosas-- configurable desde el admin. Ver DEC-194. *Pregunta original:* ¿El XP podrá convertirse en dinero o bienes? Si no, el problema fiscal y legal se reduce drásticamente.</t>
        </is>
      </c>
    </row>
    <row r="41" ht="23.25" customHeight="1" s="36">
      <c r="A41" s="67" t="inlineStr">
        <is>
          <t>Q-25</t>
        </is>
      </c>
      <c r="B41" s="68" t="inlineStr">
        <is>
          <t>Resuelta</t>
        </is>
      </c>
      <c r="C41" s="68" t="n"/>
      <c r="D41" s="69" t="inlineStr">
        <is>
          <t>RESPONDIDA (2026-08-30).</t>
        </is>
      </c>
      <c r="E41" s="69" t="inlineStr">
        <is>
          <t>Respondida</t>
        </is>
      </c>
      <c r="F41" s="69" t="inlineStr">
        <is>
          <t>Tu (decision de negocio)</t>
        </is>
      </c>
      <c r="G41" s="69" t="inlineStr">
        <is>
          <t>El hito de consolidacion del referido es la primera campana completada. *Pregunta original:* ¿Cuál es el hito de consolidación del referido: aprobación, o primera campaña completada?</t>
        </is>
      </c>
    </row>
    <row r="42" ht="23.25" customHeight="1" s="36">
      <c r="A42" s="67" t="inlineStr">
        <is>
          <t>Q-26</t>
        </is>
      </c>
      <c r="B42" s="68" t="inlineStr">
        <is>
          <t>Resuelta</t>
        </is>
      </c>
      <c r="C42" s="68" t="n"/>
      <c r="D42" s="69" t="inlineStr">
        <is>
          <t>RESPONDIDA (2026-08-30).</t>
        </is>
      </c>
      <c r="E42" s="69" t="inlineStr">
        <is>
          <t>Respondida</t>
        </is>
      </c>
      <c r="F42" s="69" t="inlineStr">
        <is>
          <t>Tu (decision de negocio)</t>
        </is>
      </c>
      <c r="G42" s="69" t="inlineStr">
        <is>
          <t>Absorbida por Q-24: los retos internos premian con XP canjeable en el catalogo, no con dinero. *Pregunta original:* ¿Los retos internos pagarán en dinero, producto o acceso prioritario?</t>
        </is>
      </c>
    </row>
    <row r="43" ht="23.25" customHeight="1" s="36">
      <c r="A43" s="67" t="inlineStr">
        <is>
          <t>Q-27</t>
        </is>
      </c>
      <c r="B43" s="68" t="inlineStr">
        <is>
          <t>Resuelta</t>
        </is>
      </c>
      <c r="C43" s="68" t="n"/>
      <c r="D43" s="69" t="inlineStr">
        <is>
          <t>RESPONDIDA (2026-08-30). La Academia del creador QUEDA</t>
        </is>
      </c>
      <c r="E43" s="69" t="inlineStr">
        <is>
          <t>Respondida</t>
        </is>
      </c>
      <c r="F43" s="69" t="inlineStr">
        <is>
          <t>Tu (decision de negocio)</t>
        </is>
      </c>
      <c r="G43" s="69" t="inlineStr">
        <is>
          <t>, y cada modulo es configurable desde el admin. Ver DEC-196. *Pregunta original:* ¿Hay presupuesto para la Academia del creador? Es contenido, no software.</t>
        </is>
      </c>
    </row>
    <row r="44" ht="34.5" customHeight="1" s="36">
      <c r="A44" s="67" t="inlineStr">
        <is>
          <t>Q-29</t>
        </is>
      </c>
      <c r="B44" s="68" t="inlineStr">
        <is>
          <t>Resuelta</t>
        </is>
      </c>
      <c r="C44" s="68" t="n"/>
      <c r="D44" s="69" t="inlineStr">
        <is>
          <t>RESPONDIDA (2026-08-30).</t>
        </is>
      </c>
      <c r="E44" s="69" t="inlineStr">
        <is>
          <t>Respondida</t>
        </is>
      </c>
      <c r="F44" s="69" t="inlineStr">
        <is>
          <t>Tu (marca)</t>
        </is>
      </c>
      <c r="G44" s="69" t="inlineStr">
        <is>
          <t>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is>
      </c>
    </row>
    <row r="45" ht="57" customHeight="1" s="36">
      <c r="A45" s="67" t="inlineStr">
        <is>
          <t>Q-30</t>
        </is>
      </c>
      <c r="B45" s="68" t="inlineStr">
        <is>
          <t>Resuelta</t>
        </is>
      </c>
      <c r="C45" s="68" t="n"/>
      <c r="D45" s="69" t="inlineStr">
        <is>
          <t>RESPONDIDA (2026-08-30).</t>
        </is>
      </c>
      <c r="E45" s="69" t="inlineStr">
        <is>
          <t>Respondida</t>
        </is>
      </c>
      <c r="F45" s="69" t="inlineStr">
        <is>
          <t>Tu (marca)</t>
        </is>
      </c>
      <c r="G45" s="69" t="inlineStr">
        <is>
          <t>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is>
      </c>
    </row>
    <row r="46" ht="23.25" customHeight="1" s="36">
      <c r="A46" s="67" t="inlineStr">
        <is>
          <t>Q-31</t>
        </is>
      </c>
      <c r="B46" s="68" t="inlineStr">
        <is>
          <t>Resuelta</t>
        </is>
      </c>
      <c r="C46" s="68" t="n"/>
      <c r="D46" s="69" t="inlineStr">
        <is>
          <t>RESPONDIDA (2026-08-30).</t>
        </is>
      </c>
      <c r="E46" s="69" t="inlineStr">
        <is>
          <t>Respondida</t>
        </is>
      </c>
      <c r="F46" s="69" t="inlineStr">
        <is>
          <t>Tu (decision de negocio)</t>
        </is>
      </c>
      <c r="G46" s="69" t="inlineStr">
        <is>
          <t>Configurable desde el admin: la marca de la plataforma es un dato, no un archivo del repositorio. *Pregunta original:* ¿Se sustituye el kit original por las versiones corregidas, o conviven? Recomiendo sustituir: dos favicon distintos garantizan que alguien use el roto.</t>
        </is>
      </c>
    </row>
    <row r="47" ht="23.25" customHeight="1" s="36">
      <c r="A47" s="67" t="inlineStr">
        <is>
          <t>Q-33</t>
        </is>
      </c>
      <c r="B47" s="68" t="inlineStr">
        <is>
          <t>Resuelta</t>
        </is>
      </c>
      <c r="C47" s="68" t="n"/>
      <c r="D47" s="69" t="inlineStr">
        <is>
          <t>RESUELTA (negocio, 2026-08-22): — todo creador debe tener datos fiscales legales y vigentes.</t>
        </is>
      </c>
      <c r="E47" s="69" t="inlineStr">
        <is>
          <t>—</t>
        </is>
      </c>
      <c r="F47" s="69" t="inlineStr">
        <is>
          <t>Tu (decision de negocio)</t>
        </is>
      </c>
      <c r="G47" s="69" t="inlineStr">
        <is>
          <t>No hay pago informal. Sin ellos no se activa; si no se regulariza, se rechaza. → BR-CREATOR-013</t>
        </is>
      </c>
    </row>
    <row r="48" ht="57" customHeight="1" s="36">
      <c r="A48" s="67" t="inlineStr">
        <is>
          <t>Q-34</t>
        </is>
      </c>
      <c r="B48" s="68" t="inlineStr">
        <is>
          <t>Resuelta</t>
        </is>
      </c>
      <c r="C48" s="68" t="n"/>
      <c r="D48" s="69" t="inlineStr">
        <is>
          <t>RESPONDIDA (2026-08-30).</t>
        </is>
      </c>
      <c r="E48" s="69" t="inlineStr">
        <is>
          <t>Respondida</t>
        </is>
      </c>
      <c r="F48" s="69" t="inlineStr">
        <is>
          <t>Tu (decision de negocio)</t>
        </is>
      </c>
      <c r="G48" s="69" t="inlineStr">
        <is>
          <t>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is>
      </c>
    </row>
    <row r="49" ht="34.5" customHeight="1" s="36">
      <c r="A49" s="67" t="inlineStr">
        <is>
          <t>Q-35</t>
        </is>
      </c>
      <c r="B49" s="68" t="inlineStr">
        <is>
          <t>Resuelta</t>
        </is>
      </c>
      <c r="C49" s="68" t="n"/>
      <c r="D49" s="69" t="inlineStr">
        <is>
          <t>ADOPTADA (recomendación, 2026-08-22):</t>
        </is>
      </c>
      <c r="E49" s="69" t="inlineStr">
        <is>
          <t>—</t>
        </is>
      </c>
      <c r="F49" s="69" t="inlineStr">
        <is>
          <t>Tu (decision de negocio)</t>
        </is>
      </c>
      <c r="G49" s="69" t="inlineStr">
        <is>
          <t>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is>
      </c>
    </row>
    <row r="50" ht="45.75" customHeight="1" s="36">
      <c r="A50" s="67" t="inlineStr">
        <is>
          <t>Q-36</t>
        </is>
      </c>
      <c r="B50" s="68" t="inlineStr">
        <is>
          <t>Resuelta</t>
        </is>
      </c>
      <c r="C50" s="68" t="n"/>
      <c r="D50" s="69" t="inlineStr">
        <is>
          <t>RESUELTA (negocio, 2026-08-22): — todo por Google Workspace por ahora — el volumen actual no llega a 100 correos.</t>
        </is>
      </c>
      <c r="E50" s="69" t="inlineStr">
        <is>
          <t>Configuración</t>
        </is>
      </c>
      <c r="F50" s="69" t="inlineStr">
        <is>
          <t>Tu (decision de negocio)</t>
        </is>
      </c>
      <c r="G50" s="69" t="inlineStr">
        <is>
          <t>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is>
      </c>
    </row>
    <row r="51" ht="34.5" customHeight="1" s="36">
      <c r="A51" s="67" t="inlineStr">
        <is>
          <t>Q-37</t>
        </is>
      </c>
      <c r="B51" s="68" t="inlineStr">
        <is>
          <t>Resuelta</t>
        </is>
      </c>
      <c r="C51" s="68" t="n"/>
      <c r="D51" s="69" t="inlineStr">
        <is>
          <t>ADOPTADA (recomendación, 2026-08-22):</t>
        </is>
      </c>
      <c r="E51" s="69" t="inlineStr">
        <is>
          <t>—</t>
        </is>
      </c>
      <c r="F51" s="69" t="inlineStr">
        <is>
          <t>Tu (decision de negocio)</t>
        </is>
      </c>
      <c r="G51" s="69" t="inlineStr">
        <is>
          <t>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is>
      </c>
    </row>
    <row r="52" ht="23.25" customHeight="1" s="36">
      <c r="A52" s="67" t="inlineStr">
        <is>
          <t>Q-38</t>
        </is>
      </c>
      <c r="B52" s="68" t="inlineStr">
        <is>
          <t>Resuelta</t>
        </is>
      </c>
      <c r="C52" s="68" t="n"/>
      <c r="D52" s="69" t="inlineStr">
        <is>
          <t>RESPONDIDA (2026-08-30).</t>
        </is>
      </c>
      <c r="E52" s="69" t="inlineStr">
        <is>
          <t>Respondida</t>
        </is>
      </c>
      <c r="F52" s="69" t="inlineStr">
        <is>
          <t>Tu (decision de negocio)</t>
        </is>
      </c>
      <c r="G52" s="69" t="inlineStr">
        <is>
          <t>El numero de desarrolladores no es relevante para el plan: el trabajo se hace con IA. *Pregunta original:* ¿Cuántos desarrolladores? Con uno solo las estimaciones se multiplican por 1,7</t>
        </is>
      </c>
    </row>
    <row r="53" ht="57" customHeight="1" s="36">
      <c r="A53" s="67" t="inlineStr">
        <is>
          <t>Q-40</t>
        </is>
      </c>
      <c r="B53" s="68" t="inlineStr">
        <is>
          <t>Resuelta</t>
        </is>
      </c>
      <c r="C53" s="68" t="n"/>
      <c r="D53" s="69" t="inlineStr">
        <is>
          <t>RESPONDIDA (2026-08-30).</t>
        </is>
      </c>
      <c r="E53" s="69" t="inlineStr">
        <is>
          <t>Respondida</t>
        </is>
      </c>
      <c r="F53" s="69" t="inlineStr">
        <is>
          <t>Tu contador</t>
        </is>
      </c>
      <c r="G53" s="69" t="inlineStr">
        <is>
          <t>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is>
      </c>
    </row>
    <row r="54" ht="23.25" customHeight="1" s="36">
      <c r="A54" s="67" t="inlineStr">
        <is>
          <t>Q-41</t>
        </is>
      </c>
      <c r="B54" s="68" t="inlineStr">
        <is>
          <t>Resuelta</t>
        </is>
      </c>
      <c r="C54" s="68" t="n"/>
      <c r="D54" s="69" t="inlineStr">
        <is>
          <t>RESUELTA (negocio, 2026-08-22): — 30 días de gracia antes de rechazar por falta de datos fiscales.</t>
        </is>
      </c>
      <c r="E54" s="69" t="inlineStr">
        <is>
          <t>—</t>
        </is>
      </c>
      <c r="F54" s="69" t="inlineStr">
        <is>
          <t>Tu (decision de negocio)</t>
        </is>
      </c>
      <c r="G54" s="69" t="inlineStr">
        <is>
          <t>Configurable. → BR-CREATOR-014</t>
        </is>
      </c>
    </row>
    <row r="55" ht="15" customHeight="1" s="36">
      <c r="A55" s="67" t="inlineStr">
        <is>
          <t>Q-42</t>
        </is>
      </c>
      <c r="B55" s="68" t="inlineStr">
        <is>
          <t>Resuelta</t>
        </is>
      </c>
      <c r="C55" s="68" t="n"/>
      <c r="D55" s="69" t="inlineStr">
        <is>
          <t>RESUELTA (2026-08-22): — se factura a todos los países desde Perú.</t>
        </is>
      </c>
      <c r="E55" s="69" t="inlineStr">
        <is>
          <t>—</t>
        </is>
      </c>
      <c r="F55" s="69" t="inlineStr">
        <is>
          <t>Tu (decision de negocio)</t>
        </is>
      </c>
      <c r="G55" s="69" t="inlineStr">
        <is>
          <t>Ver DEC-047. Los países se resuelven uno a uno más adelante; las tablas específicas por país se crearán en su momento</t>
        </is>
      </c>
    </row>
    <row r="56" ht="57" customHeight="1" s="36">
      <c r="A56" s="67" t="inlineStr">
        <is>
          <t>Q-44</t>
        </is>
      </c>
      <c r="B56" s="68" t="inlineStr">
        <is>
          <t>Resuelta</t>
        </is>
      </c>
      <c r="C56" s="68" t="n"/>
      <c r="D56" s="69" t="inlineStr">
        <is>
          <t>RESPONDIDA (2026-08-30).</t>
        </is>
      </c>
      <c r="E56" s="69" t="inlineStr">
        <is>
          <t>Respondida</t>
        </is>
      </c>
      <c r="F56" s="69" t="inlineStr">
        <is>
          <t>Tu contador</t>
        </is>
      </c>
      <c r="G56" s="69" t="inlineStr">
        <is>
          <t>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is>
      </c>
    </row>
    <row r="57" ht="23.25" customHeight="1" s="36">
      <c r="A57" s="67" t="inlineStr">
        <is>
          <t>Q-45</t>
        </is>
      </c>
      <c r="B57" s="68" t="inlineStr">
        <is>
          <t>Resuelta</t>
        </is>
      </c>
      <c r="C57" s="68" t="n"/>
      <c r="D57" s="69" t="inlineStr">
        <is>
          <t>RESUELTA (2026-08-22): — opción B — sin datos fiscales no hay alta, pero se acompaña al creador a formalizarse.</t>
        </is>
      </c>
      <c r="E57" s="69" t="inlineStr">
        <is>
          <t>—</t>
        </is>
      </c>
      <c r="F57" s="69" t="inlineStr">
        <is>
          <t>Tu (decision de negocio)</t>
        </is>
      </c>
      <c r="G57" s="69" t="inlineStr">
        <is>
          <t>Ver DEC-049. El pago a un tercero no se implementa; el análisis queda en docs/fase-2/2.14-PAGO-A-TERCEROS.md</t>
        </is>
      </c>
    </row>
    <row r="58" ht="68.25" customHeight="1" s="36">
      <c r="A58" s="67" t="inlineStr">
        <is>
          <t>Q-46</t>
        </is>
      </c>
      <c r="B58" s="68" t="inlineStr">
        <is>
          <t>Resuelta</t>
        </is>
      </c>
      <c r="C58" s="68" t="n"/>
      <c r="D58" s="69" t="inlineStr">
        <is>
          <t>RESPONDIDA (2026-08-30).</t>
        </is>
      </c>
      <c r="E58" s="69" t="inlineStr">
        <is>
          <t>Respondida</t>
        </is>
      </c>
      <c r="F58" s="69" t="inlineStr">
        <is>
          <t>Tu (decision de negocio)</t>
        </is>
      </c>
      <c r="G58" s="69" t="inlineStr">
        <is>
          <t>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is>
      </c>
    </row>
    <row r="59" ht="34.5" customHeight="1" s="36">
      <c r="A59" s="67" t="inlineStr">
        <is>
          <t>Q-51</t>
        </is>
      </c>
      <c r="B59" s="68" t="inlineStr">
        <is>
          <t>Resuelta</t>
        </is>
      </c>
      <c r="C59" s="68" t="n"/>
      <c r="D59" s="69" t="inlineStr">
        <is>
          <t>RESUELTA (2026-08-25, iteracion 4.5). — La pantalla de entidades legales existe: alta y edicion de sociedades, cobertura por pais con vigencia, y baja que cierra las coberturas abiertas (DEC-081).</t>
        </is>
      </c>
      <c r="E59" s="69" t="inlineStr">
        <is>
          <t>—</t>
        </is>
      </c>
      <c r="F59" s="69" t="inlineStr">
        <is>
          <t>Tu (decision de negocio)</t>
        </is>
      </c>
      <c r="G59" s="69" t="inlineStr">
        <is>
          <t>El listado enseña arriba los paises con clientes que hoy no puede facturar nadie, que es la pregunta por la que se entra. Al construirla aparecio un bloqueo real del esquema: desactivar sin cerrar la cobertura dejaba el pais sin cubrir y sin poder cubrirse</t>
        </is>
      </c>
    </row>
    <row r="60" ht="79.5" customHeight="1" s="36">
      <c r="A60" s="67" t="inlineStr">
        <is>
          <t>Q-63</t>
        </is>
      </c>
      <c r="B60" s="68" t="inlineStr">
        <is>
          <t>Resuelta</t>
        </is>
      </c>
      <c r="C60" s="68" t="n"/>
      <c r="D60" s="69" t="inlineStr">
        <is>
          <t>RESPONDIDA (2026-08-30).</t>
        </is>
      </c>
      <c r="E60" s="69" t="inlineStr">
        <is>
          <t>Respondida</t>
        </is>
      </c>
      <c r="F60" s="69" t="inlineStr">
        <is>
          <t>Tu contador</t>
        </is>
      </c>
      <c r="G60" s="69" t="inlineStr">
        <is>
          <t>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is>
      </c>
    </row>
    <row r="61">
      <c r="A61" s="67" t="inlineStr">
        <is>
          <t>Q-65</t>
        </is>
      </c>
      <c r="B61" s="68" t="inlineStr">
        <is>
          <t>Abierta</t>
        </is>
      </c>
      <c r="C61" s="68" t="inlineStr">
        <is>
          <t>Media</t>
        </is>
      </c>
      <c r="D61" s="69" t="inlineStr">
        <is>
          <t>Se puede facturar una campana EN CURSO --por adelantado o por hitos-- o solo al terminarla?</t>
        </is>
      </c>
      <c r="E61" s="69" t="inlineStr">
        <is>
          <t>Al primer cliente que pida un anticipo</t>
        </is>
      </c>
      <c r="F61" s="69" t="inlineStr">
        <is>
          <t>Tu (decision de negocio)</t>
        </is>
      </c>
      <c r="G61" s="69" t="inlineStr">
        <is>
          <t>Hoy el desplegable solo ofrece las campanas terminadas y cerradas. No es una limitacion tecnica: es una decision comercial que nadie ha tomado, y ofrecerla en la pantalla seria darla por buena en silencio. Abierta en 9.9b.</t>
        </is>
      </c>
    </row>
    <row r="62">
      <c r="A62" s="67" t="inlineStr">
        <is>
          <t>Q-66</t>
        </is>
      </c>
      <c r="B62" s="68" t="inlineStr">
        <is>
          <t>Abierta</t>
        </is>
      </c>
      <c r="C62" s="68" t="inlineStr">
        <is>
          <t>Media</t>
        </is>
      </c>
      <c r="D62" s="69" t="inlineStr">
        <is>
          <t>Si el certificado digital de una sociedad esta A NOMBRE DE OTRO CONTRIBUYENTE, .es siempre un error?</t>
        </is>
      </c>
      <c r="E62" s="69" t="inlineStr">
        <is>
          <t>Con la revision de T-09</t>
        </is>
      </c>
      <c r="F62" s="69" t="inlineStr">
        <is>
          <t>Tu abogado / contador</t>
        </is>
      </c>
      <c r="G62" s="69" t="inlineStr">
        <is>
          <t>Hoy sale en rojo y NO bloquea: no me consta que no exista un caso legitimo --un representante, un grupo empresarial-- y docs/00 §56 prohibe meter un supuesto legal en el motor sin revision juridica. Si la respuesta es «siempre es un error», se convierte en una regla cruzada de la base. Abierta en 9.9c.</t>
        </is>
      </c>
    </row>
  </sheetData>
  <autoFilter ref="A2:G60"/>
  <mergeCells count="1">
    <mergeCell ref="A1:G1"/>
  </mergeCells>
  <conditionalFormatting sqref="B3:B60">
    <cfRule type="cellIs" rank="0" priority="2" equalAverage="0" operator="equal" aboveAverage="0" dxfId="19" text="" percent="0" bottom="0">
      <formula>"Abierta"</formula>
    </cfRule>
    <cfRule type="cellIs" rank="0" priority="3" equalAverage="0" operator="equal" aboveAverage="0" dxfId="20" text="" percent="0" bottom="0">
      <formula>"Resuelta"</formula>
    </cfRule>
    <cfRule type="cellIs" rank="0" priority="4" equalAverage="0" operator="equal" aboveAverage="0" dxfId="20" text="" percent="0" bottom="0">
      <formula>"Respondida"</formula>
    </cfRule>
  </conditionalFormatting>
  <conditionalFormatting sqref="C3:C60">
    <cfRule type="cellIs" rank="0" priority="5"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277"/>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11" customWidth="1" style="35" min="2" max="2"/>
    <col width="10" customWidth="1" style="35" min="3" max="3"/>
    <col width="66" customWidth="1" style="35" min="4" max="4"/>
    <col width="26" customWidth="1" style="35" min="5" max="5"/>
    <col width="120" customWidth="1" style="35" min="6" max="6"/>
  </cols>
  <sheetData>
    <row r="1" ht="33.75" customHeight="1" s="36">
      <c r="A1" s="63" t="inlineStr">
        <is>
          <t>Las decisiones de diseño y de negocio (DEC-XXX) del registro. Una decisión es una elección que ya se tomó y que el sistema respeta; «Propuesta» significa que está razonada y construida pero sin firma formal tuya. Fuente: docs/05-DECISION-LOG.md. Las más recientes arriba.</t>
        </is>
      </c>
    </row>
    <row r="2" ht="24" customHeight="1" s="36">
      <c r="A2" s="64" t="inlineStr">
        <is>
          <t>DEC-272</t>
        </is>
      </c>
      <c r="B2" s="64" t="inlineStr">
        <is>
          <t>Decidida</t>
        </is>
      </c>
      <c r="C2" s="64" t="n"/>
      <c r="D2" s="64" t="inlineStr">
        <is>
          <t>La exportacion de servicios se emite con tipoOperacion 0200 y afectacion 40</t>
        </is>
      </c>
      <c r="E2" s="64" t="inlineStr">
        <is>
          <t>DECIDIDA (2026-09-02, iteracion 9.9d) -- Q-67 cerrada por el negocio</t>
        </is>
      </c>
      <c r="F2" s="64" t="inlineStr">
        <is>
          <t>Se puso sobre la mesa como SUPUESTO LEGAL SIN REVISAR (§56): es lo que la documentacion de SUNAT y los ejemplos de Greenter usan, pero de ello depende que una factura de exportacion sea valida, y el codigo habria funcionado igual sin preguntar --el error no habria salido hasta que SUNAT rechazara una de verdad--. El negocio lo confirmo el mismo dia por experiencia propia: «es correcto lo que mencionas, ya lo hago con mi empresa». Queda dicho que la confirmacion es de quien lo hace en la practica, no un pronunciamiento escrito de un contador: si algun dia SUNAT cambia el criterio, esta es la fila que hay que volver a mirar.</t>
        </is>
      </c>
    </row>
    <row r="3" ht="24" customHeight="1" s="36">
      <c r="A3" s="64" t="inlineStr">
        <is>
          <t>DEC-273</t>
        </is>
      </c>
      <c r="B3" s="64" t="inlineStr">
        <is>
          <t>Decidida</t>
        </is>
      </c>
      <c r="C3" s="64" t="n"/>
      <c r="D3" s="64" t="inlineStr">
        <is>
          <t>La localidad del emisor se congela en la factura, como el resto de su identidad</t>
        </is>
      </c>
      <c r="E3" s="64" t="inlineStr">
        <is>
          <t>DECIDIDA (2026-09-02, iteracion 9.9f) -- cierra T-87</t>
        </is>
      </c>
      <c r="F3" s="64" t="inlineStr">
        <is>
          <t>BR-LE-005 congelaba el nombre, el identificador fiscal y el domicilio --la sociedad cambia de domicilio y la factura de ayer no-- pero NO el ubigeo, el distrito, la provincia ni el codigo de establecimiento, que son justo los campos que el comprobante electronico lleva dentro. 9.9d los estaba leyendo de la tabla VIVA, asi que el dia que una sociedad se mudara, regenerar el XML de una factura del ano pasado habria producido UN DOCUMENTO DISTINTO DEL QUE SE EMITIO, y los dos van firmados. Se congelan al emitir y se REFRESCAN al emitir, no solo al abrir el borrador. Lo ya emitido se rellena con lo de hoy y se dice que es una aproximacion: si alguna sociedad se mudo antes, ese dato no se guardo.</t>
        </is>
      </c>
    </row>
    <row r="4" ht="24" customHeight="1" s="36">
      <c r="A4" s="64" t="inlineStr">
        <is>
          <t>DEC-274</t>
        </is>
      </c>
      <c r="B4" s="64" t="inlineStr">
        <is>
          <t>Decidida</t>
        </is>
      </c>
      <c r="C4" s="64" t="n"/>
      <c r="D4" s="64" t="inlineStr">
        <is>
          <t>El tipo de comprobante lo declara el catalogo del pais, no un CHECK</t>
        </is>
      </c>
      <c r="E4" s="64" t="inlineStr">
        <is>
          <t>DECIDIDA (2026-09-02, iteracion 9.9f) -- cierra T-79</t>
        </is>
      </c>
      <c r="F4" s="64" t="inlineStr">
        <is>
          <t>ck_invoice_type decia document_type IN (invoice, boleta, credit_note, debit_note): la lista de Peru escrita en el esquema, cuando DEC-190 dice que las reglas van en el codigo y los VALORES en la configuracion. El catalogo document_types existia por pais desde la Fase 2 y 9.9d ya lee de el el codigo oficial que viaja en el XML. Disparador y no clave ajena, por lo mismo que 9.17e con ck_iconn_url: la pregunta es CRUZADA --existe este tipo en el pais de ESTE emisor?-- y una foranea a document_types(id) obligaria a cambiar uq_invoice_number, que es la unicidad que SUNAT exige. Con dos limites: solo con pais congelado y solo al emitir.</t>
        </is>
      </c>
    </row>
    <row r="5" ht="79.5" customHeight="1" s="36">
      <c r="A5" s="64" t="inlineStr">
        <is>
          <t>DEC-269</t>
        </is>
      </c>
      <c r="B5" s="64" t="inlineStr">
        <is>
          <t>Decidida</t>
        </is>
      </c>
      <c r="C5" s="64" t="n"/>
      <c r="D5" s="64" t="inlineStr">
        <is>
          <t>La frontera de emision es una interfaz por pais, y Greenter vive detras de una capa de Deptrac</t>
        </is>
      </c>
      <c r="E5" s="64" t="inlineStr">
        <is>
          <t>DECIDIDA (2026-09-02, iteracion 9.9d)</t>
        </is>
      </c>
      <c r="F5" s="64" t="inlineStr">
        <is>
          <t>DEC-252 dijo que Greenter iria detras de una frontera «porque es peruano y esto es para seis paises». Una frase asi es facil de escribir y facil de incumplir tres iteraciones despues, asi que NO ES UNA FRASE: deptrac.yaml declara una capa Greenter propia --no dentro de Framework, que aparece en todas-- y solo app/Modules/Finance/Emision/Peru/ la tiene permitida. Se comprobo que muerde antes de darlo por bueno: se anadio un use Greenter prohibido en Comprobantes.php, Deptrac lo rechazo por su nombre, y volvio a verde al quitarlo. La forma es una interfaz con un metodo y un registro por pais; un pais sin armador LO DICE CON PALABRAS en vez de producir un XML generico que ninguna administracion aceptaria.</t>
        </is>
      </c>
    </row>
    <row r="6" ht="34.5" customHeight="1" s="36">
      <c r="A6" s="64" t="inlineStr">
        <is>
          <t>DEC-270</t>
        </is>
      </c>
      <c r="B6" s="64" t="inlineStr">
        <is>
          <t>Decidida</t>
        </is>
      </c>
      <c r="C6" s="64" t="n"/>
      <c r="D6" s="64" t="inlineStr">
        <is>
          <t>El XML firmado vive en la base, no en files</t>
        </is>
      </c>
      <c r="E6" s="64" t="inlineStr">
        <is>
          <t>DECIDIDA (2026-09-02, iteracion 9.9d)</t>
        </is>
      </c>
      <c r="F6" s="64" t="inlineStr">
        <is>
          <t>No es un archivo cualquiera: es la prueba firmada de una operacion. Tiene que sobrevivir EXACTAMENTE como se firmo --un byte distinto y la firma deja de validar-- y en la base entra en la copia de la base, junto a la factura que describe; en disco vive con otra politica de copia y se pierde por separado. Son 6 KB, asi que la razon de sacar archivos de la base no aplica. Y una instalacion sin disco configurado tiene que poder emitir bien: si la validez fiscal dependiera de que alguien configuro S3, habria instalaciones perdiendo la prueba sin enterarse. El PDF, cuando llegue, si ira a files: se puede volver a generar.</t>
        </is>
      </c>
    </row>
    <row r="7" ht="23.25" customHeight="1" s="36">
      <c r="A7" s="64" t="inlineStr">
        <is>
          <t>DEC-271</t>
        </is>
      </c>
      <c r="B7" s="64" t="inlineStr">
        <is>
          <t>Decidida</t>
        </is>
      </c>
      <c r="C7" s="64" t="n"/>
      <c r="D7" s="64" t="inlineStr">
        <is>
          <t>Regenerar reemplaza y no borra; y si la huella no cuadra, no se entrega</t>
        </is>
      </c>
      <c r="E7" s="64" t="inlineStr">
        <is>
          <t>DECIDIDA (2026-09-02, iteracion 9.9d)</t>
        </is>
      </c>
      <c r="F7" s="64" t="inlineStr">
        <is>
          <t>Regenerar es legitimo --se corrigio el ubigeo, se cambio el certificado-- pero el anterior no desaparece: se marca como reemplazado. SI ESA VERSION YA SE MANDO, LO QUE SUNAT TIENE ES ESA, y perderla es perder la unica copia de lo que se declaro; lo garantiza la columna puerta 35 con un indice unico, no un COUNT. Y hay una ultima red que el disparador no puede dar: antes de entregar el XML se recalcula su huella. El disparador impide editar la fila, pero no alcanza a una restauracion a medias ni a un volcado importado con --skip-triggers, y en esos casos el documento deja de probar lo que dice probar.</t>
        </is>
      </c>
    </row>
    <row r="8" ht="34.5" customHeight="1" s="36">
      <c r="A8" s="64" t="inlineStr">
        <is>
          <t>DEC-268</t>
        </is>
      </c>
      <c r="B8" s="64" t="inlineStr">
        <is>
          <t>Decidida</t>
        </is>
      </c>
      <c r="C8" s="64" t="n"/>
      <c r="D8" s="64" t="inlineStr">
        <is>
          <t>El sistema comprueba que la base este al dia con el codigo, y lo dice en todas las pantallas del panel</t>
        </is>
      </c>
      <c r="E8" s="64" t="inlineStr">
        <is>
          <t>DECIDIDA (2026-09-01, iteracion 9.17j)</t>
        </is>
      </c>
      <c r="F8" s="64" t="inlineStr">
        <is>
          <t>Sale de una manana entera perdida en esta misma sesion: se desplego 9.17g sin correr migrate, y guardar una cuenta de correo devolvio un SQLSTATE en crudo con el mensaje de la regla ANTERIOR --que se llama igual y dice lo mismo que la nueva--, asi que saber cual estaba instalada exigia comparar las condiciones de las dos versiones del disparador. YO APUNTE EL DEFECTO MAL: lo llame «dos reglas distintas con el mismo texto», y al medirlo resulto que de 430 mensajes solo uno se repite, y ese uno es la misma regla con dos puertas. Lo que confundia eran dos VERSIONES de una regla --una en la base, otra en el codigo--, y sobre un solo esquema son indistinguibles. La respuesta no es un verificador de mensajes: es que el sistema compare los archivos en disco con la tabla migrations, que son las dos unicas listas que hacen falta. Va en la PLANTILLA del panel y no en un area de configuracion porque con el esquema atrasado puede reventar cualquier pantalla, no una, y porque no se arregla desde ninguna. NO SE CACHEA: un aviso de «falta migrar» que llega tarde es peor que no tenerlo, porque se corre migrate, sigue en rojo, y se deja de creer al aviso.</t>
        </is>
      </c>
    </row>
    <row r="9" ht="45.75" customHeight="1" s="36">
      <c r="A9" s="64" t="inlineStr">
        <is>
          <t>DEC-265</t>
        </is>
      </c>
      <c r="B9" s="64" t="inlineStr">
        <is>
          <t>Decidida</t>
        </is>
      </c>
      <c r="C9" s="64" t="n"/>
      <c r="D9" s="64" t="inlineStr">
        <is>
          <t>La pestana configura la integracion; la pantalla hace el trabajo</t>
        </is>
      </c>
      <c r="E9" s="64" t="inlineStr">
        <is>
          <t>DECIDIDA (2026-09-01, iteracion 9.17h)</t>
        </is>
      </c>
      <c r="F9" s="64" t="inlineStr">
        <is>
          <t>Al traerse los tipos de cambio habia un error facil: llevarselo todo. A la pestana va CON QUIEN SE HABLA, A DONDE Y CON QUE CLAVE; se queda en Tipos de cambio las tasas, que fuente manda para cada par, el registro de cada traida y la carga a mano. Una pestana de Integraciones no es el sitio donde alguien teclea la tasa de un lunes, y meterlo alli seria repetir al reves el error que el negocio senalo en 9.17f: un formulario que sirve para todo y no le sirve bien a nadie. Hay un enlace en cada direccion y ninguna pantalla duplicada.</t>
        </is>
      </c>
    </row>
    <row r="10" ht="57" customHeight="1" s="36">
      <c r="A10" s="64" t="inlineStr">
        <is>
          <t>DEC-266</t>
        </is>
      </c>
      <c r="B10" s="64" t="inlineStr">
        <is>
          <t>Decidida</t>
        </is>
      </c>
      <c r="C10" s="64" t="n"/>
      <c r="D10" s="64" t="inlineStr">
        <is>
          <t>Una sola caja fuerte para los secretos, y es la que versiona</t>
        </is>
      </c>
      <c r="E10" s="64" t="inlineStr">
        <is>
          <t>DECIDIDA (2026-09-01, iteracion 9.17h)</t>
        </is>
      </c>
      <c r="F10" s="64" t="inlineStr">
        <is>
          <t>fx_sources tenia cuatro columnas de credencial propias. Funcionaban, y ese era el problema: YA EXISTIA OTRA MEJOR. integration_credentials (9.17d) versiona, revoca y deja el rastro de la anterior; las de fx_sources no hacian ninguna de las tres, asi que guardar una clave nueva era un UPDATE que se llevaba por delante quien habia puesto la anterior y hasta cuando estuvo en uso, que es la primera pregunta el dia que aparezca un consumo raro contra el servicio. Es DEC-257 aplicado. El criptograma se copia TAL CUAL --las dos cajas usan Crypt--, asi que la migracion no descifra nada y no hay ningun instante con la clave en claro. De propina, tg_fxs_credencial_firmada desaparece sin perder su regla: set_by_user_id y set_at son NOT NULL, y una regla que se convierte en columna obligatoria ya no se puede olvidar de comprobar.</t>
        </is>
      </c>
    </row>
    <row r="11" ht="68.25" customHeight="1" s="36">
      <c r="A11" s="64" t="inlineStr">
        <is>
          <t>DEC-267</t>
        </is>
      </c>
      <c r="B11" s="64" t="inlineStr">
        <is>
          <t>Decidida</t>
        </is>
      </c>
      <c r="C11" s="64" t="n"/>
      <c r="D11" s="64" t="inlineStr">
        <is>
          <t>La misma precedencia para todas las integraciones: manda la guardada, el .env es el respaldo</t>
        </is>
      </c>
      <c r="E11" s="64" t="inlineStr">
        <is>
          <t>DECIDIDA (2026-09-01, iteracion 9.17h)</t>
        </is>
      </c>
      <c r="F11" s="64" t="inlineStr">
        <is>
          <t>Hasta hoy en tipos de cambio ganaba SIEMPRE el entorno, y en el correo, desde DEC-260, manda la guardada. Dos integraciones vecinas, EN LA MISMA PANTALLA, con precedencias opuestas. No es un matiz: es como se produce un «cambie la clave y no paso nada» --se teclea en el panel, se guarda, sale un mensaje verde, y el sistema sigue llamando con la de antes sin que nada lo diga--. Se unifica. Y lo que hace que la regla sirva no es cual se elija, sino que la pantalla DICE cual esta en efecto. Comprobado antes de escribirlo que DECOLECTA_API_KEY no esta puesta en el .env de esta instalacion, asi que el cambio es inocuo aqui.</t>
        </is>
      </c>
    </row>
    <row r="12" ht="68.25" customHeight="1" s="36">
      <c r="A12" s="64" t="inlineStr">
        <is>
          <t>DEC-262</t>
        </is>
      </c>
      <c r="B12" s="64" t="inlineStr">
        <is>
          <t>Decidida</t>
        </is>
      </c>
      <c r="C12" s="64" t="n"/>
      <c r="D12" s="64" t="inlineStr">
        <is>
          <t>La tarjeta de una integracion es UNA plantilla, y el aviso vive dentro de la integracion que lo produce</t>
        </is>
      </c>
      <c r="E12" s="64" t="inlineStr">
        <is>
          <t>DECIDIDA (2026-09-01, iteracion 9.17i) -- critica del negocio con la pantalla de otro producto suyo delante</t>
        </is>
      </c>
      <c r="F12" s="64" t="inlineStr">
        <is>
          <t>Lo que faltaba se puede enumerar sin discutir de gustos: no decia QUE HACE la integracion ni QUE PASA SI NO SE ACTIVA --solo regañaba en rojo--, no tenia estado ni forma de apagar, no llevaba a donde conseguir lo que pide, y el mismo aviso salia DOS VECES --arriba en la lista de la pestaña y otra vez dentro-- sin decir a cual se referia. Cinco pantallas parecidas es comodo el primer dia y caro el resto, asi que es una sola. Los avisos y las chapas los reparte el CONTROLADOR: decidir de quien es un aviso, y afirmar que algo esta «Activo», no es maquetacion. Y explica/destacado son TEXTO que se escapa: admitir HTML para poder poner negritas seria abrir un agujero de XSS el dia que ese texto salga de la base.</t>
        </is>
      </c>
    </row>
    <row r="13" ht="68.25" customHeight="1" s="36">
      <c r="A13" s="64" t="inlineStr">
        <is>
          <t>DEC-263</t>
        </is>
      </c>
      <c r="B13" s="64" t="inlineStr">
        <is>
          <t>Decidida</t>
        </is>
      </c>
      <c r="C13" s="64" t="n"/>
      <c r="D13" s="64" t="inlineStr">
        <is>
          <t>Una integracion que se puede encender tiene que poder apagarse, y apagar no borra</t>
        </is>
      </c>
      <c r="E13" s="64" t="inlineStr">
        <is>
          <t>DECIDIDA (2026-09-01, iteracion 9.17i)</t>
        </is>
      </c>
      <c r="F13" s="64" t="inlineStr">
        <is>
          <t>Lo delato la propia tarjeta: se puede poner una chapa de estado, pero si no hay forma de cambiarlo la chapa es un adorno. 9.17g activaba la cuenta de correo AL GUARDARLA y no dejaba ningun camino de vuelta al .env sin tocar la base a mano. Apagar deja la cuenta y su contraseña escritas, para poder volver sin teclearla otra vez. De paso salio un defecto ya puesto: guardar() buscaba la conexion con vigente(), que solo ve la activa, asi que cada guardado despues de un apagado habria dejado una conexion huerfana mas.</t>
        </is>
      </c>
    </row>
    <row r="14" ht="45.75" customHeight="1" s="36">
      <c r="A14" s="64" t="inlineStr">
        <is>
          <t>DEC-264</t>
        </is>
      </c>
      <c r="B14" s="64" t="inlineStr">
        <is>
          <t>Decidida</t>
        </is>
      </c>
      <c r="C14" s="64" t="n"/>
      <c r="D14" s="64" t="inlineStr">
        <is>
          <t>El puerto y el cifrado que no casan avisan, y no impiden</t>
        </is>
      </c>
      <c r="E14" s="64" t="inlineStr">
        <is>
          <t>DECIDIDA (2026-09-01, iteracion 9.17i) -- salido de un intento real</t>
        </is>
      </c>
      <c r="F14" s="64" t="inlineStr">
        <is>
          <t>smtp.gmail.com con cifrado SSL y puerto 587. Cada valor es legitimo por separado y ninguna regla los rechazaba, pero juntos NO CONECTAN --587 habla en claro y sube a TLS con STARTTLS; 465 va cifrado desde el saludo-- y el servidor solo contesta con una espera agotada, que no dice nada de esto. Se avisa en ambar (DEC-190): la costumbre no es la ley y hay servidores que escuchan donde quieren. Pero quien lo teclee cruzado se entera aqui y no tres dias despues, cuando alguien pregunte por que no le llego nada.</t>
        </is>
      </c>
    </row>
    <row r="15" ht="57" customHeight="1" s="36">
      <c r="A15" s="64" t="inlineStr">
        <is>
          <t>DEC-260</t>
        </is>
      </c>
      <c r="B15" s="64" t="inlineStr">
        <is>
          <t>Decidida</t>
        </is>
      </c>
      <c r="C15" s="64" t="n"/>
      <c r="D15" s="64" t="inlineStr">
        <is>
          <t>La cuenta de correo vive en la base, y la precedencia se escribe y se ensena</t>
        </is>
      </c>
      <c r="E15" s="64" t="inlineStr">
        <is>
          <t>DECIDIDA (2026-09-01, iteracion 9.17g) -- pedida por el negocio: «Mover las tres a la base ahora»</t>
        </is>
      </c>
      <c r="F15" s="64" t="inlineStr">
        <is>
          <t>Era el ajuste que mas dolia: el unico del sistema que exigia ENTRAR A LA MAQUINA para algo que cambia solo, y el que mas caro sale tener mal --con el transporte en «log» nadie recibe nada, ni el enlace de alta de un creador, y el sistema no da ningun error--. Tabla propia y no columnas en la conexion (DEC-257): el esqueleto se queda en integration_connections, que ya sabe rotar un secreto sin pisarlo; el servidor, el puerto, el cifrado y el remitente van en mail_settings. Manda la cuenta guardada si hay una activa; si no, el .env --sin mezcla y sin tercera opcion, porque media configuracion de cada sitio produce «cambie el puerto y no paso nada»-- y la pantalla DICE cual esta en efecto. El boton de prueba escribe el resultado en la conexion, porque el modo de fallo real no es que el correo falle: es que falle y nadie lo sepa.</t>
        </is>
      </c>
    </row>
    <row r="16" ht="57" customHeight="1" s="36">
      <c r="A16" s="64" t="inlineStr">
        <is>
          <t>DEC-261</t>
        </is>
      </c>
      <c r="B16" s="64" t="inlineStr">
        <is>
          <t>Decidida</t>
        </is>
      </c>
      <c r="C16" s="64" t="n"/>
      <c r="D16" s="64" t="inlineStr">
        <is>
          <t>«Sabe a donde llamar» se parte en dos, y una pestana no puede ser un if en un controlador de Core</t>
        </is>
      </c>
      <c r="E16" s="64" t="inlineStr">
        <is>
          <t>DECIDIDA (2026-09-01, iteracion 9.17g)</t>
        </is>
      </c>
      <c r="F16" s="64" t="inlineStr">
        <is>
          <t>9.17e escribio la regla como «tiene una URL https://», y eso era mirar solo a SUNAT: un servidor de correo no tiene URL, tiene servidor y puerto, asi que una cuenta de correo NO SE PODIA ACTIVAR --lo descubrio la primera prueba que intento guardar una--. Ahora son dos reglas separadas: tiene alguna direccion, y si es una direccion web va cifrada. Y la pestana del correo la alimenta Communication mientras la pantalla vive en Core, que no puede depender de el: se invierte con App\Shared\Config\Pestanas --cada modulo REGISTRA su pestana-- que es el mismo patron que Preparacion usa para las areas desde 9.17b. De paso resuelve en su forma general la critica que abrio 9.17f: una integracion nueva con parametros propios es una llamada a registrar() desde su modulo, no un if mas en un controlador ajeno.</t>
        </is>
      </c>
    </row>
    <row r="17" ht="57" customHeight="1" s="36">
      <c r="A17" s="64" t="inlineStr">
        <is>
          <t>DEC-257</t>
        </is>
      </c>
      <c r="B17" s="64" t="inlineStr">
        <is>
          <t>Decidida</t>
        </is>
      </c>
      <c r="C17" s="64" t="n"/>
      <c r="D17" s="64" t="inlineStr">
        <is>
          <t>El esqueleto de las integraciones se queda compartido; lo propio de cada proposito, en su tabla</t>
        </is>
      </c>
      <c r="E17" s="64" t="inlineStr">
        <is>
          <t>DECIDIDA (2026-09-01, iteracion 9.17f) -- a partir de una critica del negocio</t>
        </is>
      </c>
      <c r="F17" s="64" t="inlineStr">
        <is>
          <t>Al comprobar la critica resulto tener mas razon de la que creia: SMTP vive en .env y Decolecta en fx_sources, asi que el unico inquilino real era SUNAT y el desplegable ofrecia crear conexiones que nadie lee. Pero una tabla por proveedor duplicaria tres veces el cifrado y la ROTACION de credenciales, la bitacora y el registro de salud, que si son iguales para todos; y una bolsa generica de parametro/valor convierte la validacion en papilla. Para facturacion electronica las tablas propias YA existian: signing_certificates y document_series.</t>
        </is>
      </c>
    </row>
    <row r="18" ht="68.25" customHeight="1" s="36">
      <c r="A18" s="64" t="inlineStr">
        <is>
          <t>DEC-258</t>
        </is>
      </c>
      <c r="B18" s="64" t="inlineStr">
        <is>
          <t>Decidida</t>
        </is>
      </c>
      <c r="C18" s="64" t="n"/>
      <c r="D18" s="64" t="inlineStr">
        <is>
          <t>Una integracion activa por PROPOSITO, no por proveedor</t>
        </is>
      </c>
      <c r="E18" s="64" t="inlineStr">
        <is>
          <t>DECIDIDA (2026-09-01, iteracion 9.17f) -- agujero encontrado por el negocio</t>
        </is>
      </c>
      <c r="F18" s="64" t="inlineStr">
        <is>
          <t>uq_iconn_active garantizaba una activa por PROVEEDOR: con dos emisores electronicos dados de alta los dos podian estar activos y nadie sabria cual emite. Lo unico que tiene que ser unico es QUIEN HACE ESTE TRABAJO. purpose_snapshot hace falta porque una columna generada solo lee columnas de su propia fila; lo copia el disparador y no se admite el que venga en la sentencia. Es lo unico que permite que la garantia sea un indice unico y no un COUNT(*) dentro de un disparador, que no bloquea nada.</t>
        </is>
      </c>
    </row>
    <row r="19" ht="45.75" customHeight="1" s="36">
      <c r="A19" s="64" t="inlineStr">
        <is>
          <t>DEC-259</t>
        </is>
      </c>
      <c r="B19" s="64" t="inlineStr">
        <is>
          <t>Decidida</t>
        </is>
      </c>
      <c r="C19" s="64" t="n"/>
      <c r="D19" s="64" t="inlineStr">
        <is>
          <t>Pestanas por proposito, y las tres cosas de emitir en la misma</t>
        </is>
      </c>
      <c r="E19" s="64" t="inlineStr">
        <is>
          <t>DECIDIDA (2026-09-01, iteracion 9.17f)</t>
        </is>
      </c>
      <c r="F19" s="64" t="inlineStr">
        <is>
          <t>No veia donde configurar los folios porque estaban en otra pantalla. La pestana de facturacion junta la conexion, el certificado y las series. NO se duplican: salen de la misma plantilla parcial y las pantallas sueltas redirigen. Las dos dejan de ser areas del panel y sus avisos los suma el revisor de Integraciones, con dos pruebas que lo afirman: sin ellas, meterlos dentro habria apagado en silencio el «sin certificado» y el «sin serie».</t>
        </is>
      </c>
    </row>
    <row r="20" ht="57" customHeight="1" s="36">
      <c r="A20" s="64" t="inlineStr">
        <is>
          <t>DEC-255</t>
        </is>
      </c>
      <c r="B20" s="64" t="inlineStr">
        <is>
          <t>Decidida</t>
        </is>
      </c>
      <c r="C20" s="64" t="n"/>
      <c r="D20" s="64" t="inlineStr">
        <is>
          <t>La direccion de un proveedor la declara el catalogo, no la teclea una persona</t>
        </is>
      </c>
      <c r="E20" s="64" t="inlineStr">
        <is>
          <t>DECIDIDA (2026-09-01, iteracion 9.17e) -- reportada por el negocio</t>
        </is>
      </c>
      <c r="F20" s="64" t="inlineStr">
        <is>
          <t>Los extremos de SUNAT son fijos y publicos: no son un dato de esta instalacion, son la direccion del servicio. Pedirselos a una persona es pedirle que teclee una constante, y un caracter de mas produce comprobantes que no llegan con un error de red que no dice que paso. Es DEC-190 del reves: alli el problema era quemar en el codigo lo que es de cada instalacion; aqui era pedirle a cada instalacion lo que es del proveedor. integration_provider_endpoints los declara por (proveedor, entorno), sembrados y verificados contra thegreenter/ws. La columna de la conexion se queda como EXCEPCION --vacia significa «la del proveedor»-- para un OSE, una homologacion o el dia que SUNAT mueva una, y la pantalla ensena cual se USA y de donde sale.</t>
        </is>
      </c>
    </row>
    <row r="21" ht="34.5" customHeight="1" s="36">
      <c r="A21" s="64" t="inlineStr">
        <is>
          <t>DEC-256</t>
        </is>
      </c>
      <c r="B21" s="64" t="inlineStr">
        <is>
          <t>Decidida</t>
        </is>
      </c>
      <c r="C21" s="64" t="n"/>
      <c r="D21" s="64" t="inlineStr">
        <is>
          <t>ck_iconn_url pasa a disparador, y un emisor electronico va con una sociedad</t>
        </is>
      </c>
      <c r="E21" s="64" t="inlineStr">
        <is>
          <t>DECIDIDA (2026-09-01, iteracion 9.17e)</t>
        </is>
      </c>
      <c r="F21" s="64" t="inlineStr">
        <is>
          <t>La pregunta «.esta conexion sabe a donde llamar?» dejo de contestarse mirando una fila: hay que mirar otra tabla, y un CHECK no cruza tablas. tg_iconn_activa_ins/_upd exigen, SOLO PARA ACTIVAR, que sepa a donde llamar --propia o heredada-- y que un proveedor de proposito invoicing lleve legal_entity_id: el formulario ofrecia «Toda la plataforma» para SUNAT y un comprobante sale con UN RUC. La regla es del PROPOSITO y no de todas las conexiones, y hay una asercion que lo afirma. Solo al activar: un borrador es donde faltan cosas (DEC-190).</t>
        </is>
      </c>
    </row>
    <row r="22" ht="68.25" customHeight="1" s="36">
      <c r="A22" s="64" t="inlineStr">
        <is>
          <t>DEC-252</t>
        </is>
      </c>
      <c r="B22" s="64" t="inlineStr">
        <is>
          <t>Decidida</t>
        </is>
      </c>
      <c r="C22" s="64" t="n"/>
      <c r="D22" s="64" t="inlineStr">
        <is>
          <t>Se emite con Greenter y certificado propio, no con un PSE</t>
        </is>
      </c>
      <c r="E22" s="64" t="inlineStr">
        <is>
          <t>DECIDIDA (2026-09-01, iteracion 9.9c) -- decision del negocio</t>
        </is>
      </c>
      <c r="F22" s="64" t="inlineStr">
        <is>
          <t>La bifurcacion se puso sobre la mesa antes de escribir una linea porque cuesta semanas. Respuesta: Greenter, con el certificado directo de SUNAT y el usuario secundario SOL. Es buena: Greenter hace el UBL 2.1, la firma XAdES, el SOAP y el CDR, asi que el argumento de «son semanas» casi desaparece, y no hay cuota ni dependencia de un tercero. Lo que NO desaparece queda escrito: Greenter es PERUANO y esto es una plataforma para seis paises, asi que 9.9d lo pondra detras de una frontera --quien emite no sabra que existe-- y no antes, porque construir la interfaz sin una segunda implementacion seria construir contra un supuesto (DEC-224).</t>
        </is>
      </c>
    </row>
    <row r="23" ht="57" customHeight="1" s="36">
      <c r="A23" s="64" t="inlineStr">
        <is>
          <t>DEC-253</t>
        </is>
      </c>
      <c r="B23" s="64" t="inlineStr">
        <is>
          <t>Decidida</t>
        </is>
      </c>
      <c r="C23" s="64" t="n"/>
      <c r="D23" s="64" t="inlineStr">
        <is>
          <t>El certificado es de la SOCIEDAD; se guarda en PEM y su contrasena no se guarda</t>
        </is>
      </c>
      <c r="E23" s="64" t="inlineStr">
        <is>
          <t>DECIDIDA (2026-09-01, iteracion 9.9c)</t>
        </is>
      </c>
      <c r="F23" s="64" t="inlineStr">
        <is>
          <t>integration_credentials (9.17d) son credenciales DE UNA CONEXION. Un certificado de firma es la identidad de quien factura: el mismo firma salga directo a SUNAT o por un proveedor, y sigue explicando la firma de lo ya emitido cuando la conexion se cambia entera. Y tiene vigencia propia, escrita dentro del archivo, que nadie de aqui decide. Se normaliza a PEM porque es lo que consume quien firma y, sobre todo, porque asi la contrasena del .pfx se usa UNA vez y se olvida: un secreto que no existe no se puede filtrar. El archivo no toca el disco. uq_cert_activo (columna puerta 34) impide dos en uso por sociedad y entorno.</t>
        </is>
      </c>
    </row>
    <row r="24" ht="34.5" customHeight="1" s="36">
      <c r="A24" s="64" t="inlineStr">
        <is>
          <t>DEC-254</t>
        </is>
      </c>
      <c r="B24" s="64" t="inlineStr">
        <is>
          <t>Decidida</t>
        </is>
      </c>
      <c r="C24" s="64" t="n"/>
      <c r="D24" s="64" t="inlineStr">
        <is>
          <t>El .pfx de SUNAT no lo abre OpenSSL 3, y el mensaje da la orden exacta</t>
        </is>
      </c>
      <c r="E24" s="64" t="inlineStr">
        <is>
          <t>DECIDIDA (2026-09-01, iteracion 9.9c)</t>
        </is>
      </c>
      <c r="F24" s="64" t="inlineStr">
        <is>
          <t>Los .pfx que emite SUNAT usan pbeWithSHA1And40BitRC2-CBC y OpenSSL 3 se niega sin el proveedor legacy. Lo que PHP devuelve --digital envelope routines::unsupported-- no dice nada y SE PARECE MUCHISIMO a una contrasena equivocada: alguien se pasa la tarde probando contrasenas correctas. El servicio distingue los dos casos y en el primero da la orden literal de conversion; ademas se acepta subir un .pem, porque despues de esto sera el camino normal. Y el RUC del certificado que no coincide con el de la sociedad sale en rojo pero NO bloquea (Q-66, §56).</t>
        </is>
      </c>
    </row>
    <row r="25" ht="45.75" customHeight="1" s="36">
      <c r="A25" s="64" t="inlineStr">
        <is>
          <t>DEC-248</t>
        </is>
      </c>
      <c r="B25" s="64" t="inlineStr">
        <is>
          <t>Decidida</t>
        </is>
      </c>
      <c r="C25" s="64" t="n"/>
      <c r="D25" s="64" t="inlineStr">
        <is>
          <t>Un borrador de factura NO gasta correlativo: el numero se pide al EMITIR</t>
        </is>
      </c>
      <c r="E25" s="64" t="inlineStr">
        <is>
          <t>DECIDIDA (2026-09-01, iteracion 9.9b)</t>
        </is>
      </c>
      <c r="F25" s="64" t="inlineStr">
        <is>
          <t>invoices.series y number eran NOT NULL desde la Fase 2, asi que empezar a redactar obligaba a quemar un numero y borrar el borrador dejaba un hueco ante SUNAT --justo el hueco que 9.12 construyo una tabla entera para poder explicar--. Las dos columnas admiten NULL mientras es borrador, y las dos mitades las cierra la base: ck_invoice_numerada exige serie, numero y el numero del libro al emitir, y ck_invoice_borrador_sin_numero impide que un borrador los lleve.</t>
        </is>
      </c>
    </row>
    <row r="26" ht="57" customHeight="1" s="36">
      <c r="A26" s="64" t="inlineStr">
        <is>
          <t>DEC-249</t>
        </is>
      </c>
      <c r="B26" s="64" t="inlineStr">
        <is>
          <t>Decidida</t>
        </is>
      </c>
      <c r="C26" s="64" t="n"/>
      <c r="D26" s="64" t="inlineStr">
        <is>
          <t>El regimen y el codigo del impuesto, sin ningun pais escrito en el codigo</t>
        </is>
      </c>
      <c r="E26" s="64" t="inlineStr">
        <is>
          <t>DECIDIDA (2026-09-01, iteracion 9.9b)</t>
        </is>
      </c>
      <c r="F26" s="64" t="inlineStr">
        <is>
          <t>ck_invoice_regime_country decia literalmente receiver_country_snapshot &lt;&gt; PE: DEC-190 roto DENTRO DEL ESQUEMA. Faltaba un dato que la factura no congelaba --el pais del EMISOR-- asi que la comparacion exigia ir a legal_entities, que ya puede haber cambiado. Con issuer_country_snapshot la regla de DEC-047 compara los dos paises congelados y sirve para los seis paises. Lo mismo con el codigo del impuesto: countries.sales_tax_code, marcado con una casilla en la misma pantalla que publica la tasa.</t>
        </is>
      </c>
    </row>
    <row r="27" ht="68.25" customHeight="1" s="36">
      <c r="A27" s="64" t="inlineStr">
        <is>
          <t>DEC-250</t>
        </is>
      </c>
      <c r="B27" s="64" t="inlineStr">
        <is>
          <t>Decidida</t>
        </is>
      </c>
      <c r="C27" s="64" t="n"/>
      <c r="D27" s="64" t="inlineStr">
        <is>
          <t>Lo emitido no se corrige, y lo impone el motor</t>
        </is>
      </c>
      <c r="E27" s="64" t="inlineStr">
        <is>
          <t>DECIDIDA (2026-09-01, iteracion 9.9b)</t>
        </is>
      </c>
      <c r="F27" s="64" t="inlineStr">
        <is>
          <t>ledger_entries tenia tg_ledger_no_update desde la Fase 2; invoices --el documento que ve la administracion tributaria-- no tenia ninguno, asi que un UPDATE podia cambiarle el importe a una factura emitida sin dejar rastro. tg_invoice_emision congela el nucleo fiscal al dejar de ser borrador y comprueba que las LINEAS SUMEN la cabecera --cruzada, y lo que rechaza SUNAT--. Una asercion afirma lo que SI puede seguir moviendose: sin ella, un disparador que congelara la fila entera tambien pasaria las de rechazo.</t>
        </is>
      </c>
    </row>
    <row r="28" ht="57" customHeight="1" s="36">
      <c r="A28" s="64" t="inlineStr">
        <is>
          <t>DEC-251</t>
        </is>
      </c>
      <c r="B28" s="64" t="inlineStr">
        <is>
          <t>Decidida</t>
        </is>
      </c>
      <c r="C28" s="64" t="n"/>
      <c r="D28" s="64" t="inlineStr">
        <is>
          <t>La factura explica su propio importe sin salir de su fila; anular exige motivo</t>
        </is>
      </c>
      <c r="E28" s="64" t="inlineStr">
        <is>
          <t>DECIDIDA (2026-09-01, iteracion 9.9b)</t>
        </is>
      </c>
      <c r="F28" s="64" t="inlineStr">
        <is>
          <t>Se congelan tax_rate_id y tax_rate_snapshot aunque 9.9a permita preguntar la tasa por fecha: preguntarla tres anos despues obliga a confiar en que nadie toco la vigencia. Los snapshots de las dos partes se copian AL EMITIR y no al abrir el borrador. Y void_reason con minimo de diez caracteres: misma leccion que document_numbers y client_leads. El numero de una factura anulada NO vuelve a la serie.</t>
        </is>
      </c>
    </row>
    <row r="29" ht="68.25" customHeight="1" s="36">
      <c r="A29" s="64" t="inlineStr">
        <is>
          <t>ID</t>
        </is>
      </c>
      <c r="B29" s="64" t="inlineStr">
        <is>
          <t>Estado</t>
        </is>
      </c>
      <c r="C29" s="64" t="inlineStr">
        <is>
          <t>Prioridad</t>
        </is>
      </c>
      <c r="D29" s="64" t="inlineStr">
        <is>
          <t>Qué se decidió</t>
        </is>
      </c>
      <c r="E29" s="64" t="inlineStr">
        <is>
          <t>Dónde se aplicó</t>
        </is>
      </c>
      <c r="F29" s="64" t="inlineStr">
        <is>
          <t>Detalle y por qué</t>
        </is>
      </c>
    </row>
    <row r="30" ht="45.75" customHeight="1" s="36">
      <c r="A30" s="67" t="inlineStr">
        <is>
          <t>DEC-245</t>
        </is>
      </c>
      <c r="B30" s="68" t="inlineStr">
        <is>
          <t>Decidida</t>
        </is>
      </c>
      <c r="C30" s="68" t="n"/>
      <c r="D30" s="69" t="inlineStr">
        <is>
          <t>La tasa de impuesto es un PERIODO, no una constante</t>
        </is>
      </c>
      <c r="E30" s="69" t="inlineStr">
        <is>
          <t>9.9a</t>
        </is>
      </c>
      <c r="F30" s="69" t="inlineStr">
        <is>
          <t>invoices tenia el importe del impuesto desde la Fase 2, pero la TASA no existia: nadie sabia que el IGV es 18 %. No puede ser un 18 en el codigo por dos motivos: es la regla de un pais escrita en el codigo de todos, y sobre todo las tasas cambian y las facturas de antes no --el IGV peruano ha sido 16, 17 y 19 %--. Sin vigencia, subir la tasa hoy reescribiria el impuesto de una factura de hace dos anos.</t>
        </is>
      </c>
    </row>
    <row r="31" ht="79.5" customHeight="1" s="36">
      <c r="A31" s="67" t="inlineStr">
        <is>
          <t>DEC-246</t>
        </is>
      </c>
      <c r="B31" s="68" t="inlineStr">
        <is>
          <t>Decidida</t>
        </is>
      </c>
      <c r="C31" s="68" t="n"/>
      <c r="D31" s="69" t="inlineStr">
        <is>
          <t>Se pregunta por una FECHA, y una tasa no se corrige: se publica la siguiente</t>
        </is>
      </c>
      <c r="E31" s="69" t="inlineStr">
        <is>
          <t>9.9a</t>
        </is>
      </c>
      <c r="F31" s="69" t="inlineStr">
        <is>
          <t>vigente() recibe la fecha del documento y no usa now(): es la disciplina de T-73. Corregir el 18 % de una fila que ya explico cien facturas es reescribir el pasado, asi que publicar() cierra la que rige EL DIA ANTES --con Vigencia, no con una resta a mano-- y abre la nueva. Publicar hacia atras se rechaza con palabras, y tg_tax_no_delete impide borrar.</t>
        </is>
      </c>
    </row>
    <row r="32" ht="68.25" customHeight="1" s="36">
      <c r="A32" s="67" t="inlineStr">
        <is>
          <t>DEC-247</t>
        </is>
      </c>
      <c r="B32" s="68" t="inlineStr">
        <is>
          <t>Decidida</t>
        </is>
      </c>
      <c r="C32" s="68" t="n"/>
      <c r="D32" s="69" t="inlineStr">
        <is>
          <t>Solo se siembra el IGV de Peru, y desde el arranque de la instalacion</t>
        </is>
      </c>
      <c r="E32" s="69" t="inlineStr">
        <is>
          <t>9.9a</t>
        </is>
      </c>
      <c r="F32" s="69" t="inlineStr">
        <is>
          <t>Sembrar el IVA colombiano o el mexicano seria inventar el dato de un pais donde todavia no se emite nada --mismo criterio que Q-64--: una tasa que nadie ha confirmado es peor que ninguna, porque se usa sin mirarla. Y rige desde el arranque y no desde 2011: fechar una vigencia hacia atras es inventarse una historia que nadie puede comprobar.</t>
        </is>
      </c>
    </row>
    <row r="33" ht="45.75" customHeight="1" s="36">
      <c r="A33" s="67" t="inlineStr">
        <is>
          <t>DEC-242</t>
        </is>
      </c>
      <c r="B33" s="68" t="inlineStr">
        <is>
          <t>Decidida</t>
        </is>
      </c>
      <c r="C33" s="68" t="n"/>
      <c r="D33" s="69" t="inlineStr">
        <is>
          <t>El contacto de una marca es una FILA, no un correo</t>
        </is>
      </c>
      <c r="E33" s="69" t="inlineStr">
        <is>
          <t>9.21c</t>
        </is>
      </c>
      <c r="F33" s="69" t="inlineStr">
        <is>
          <t>Hoy el correo esta en «log» --no sale del servidor-- asi que una instalacion con el SMTP a medio configurar perderia cada contacto sin que nadie se entere. Un correo que no llega no deja rastro; una fila si, y ademas se puede contar. El aviso por correo va encima de la fila, no en lugar de ella.</t>
        </is>
      </c>
    </row>
    <row r="34" ht="45.75" customHeight="1" s="36">
      <c r="A34" s="67" t="inlineStr">
        <is>
          <t>DEC-243</t>
        </is>
      </c>
      <c r="B34" s="68" t="inlineStr">
        <is>
          <t>Decidida</t>
        </is>
      </c>
      <c r="C34" s="68" t="n"/>
      <c r="D34" s="69" t="inlineStr">
        <is>
          <t>Misma forma que creator_applications, y solo lo abierto ocupa la puerta</t>
        </is>
      </c>
      <c r="E34" s="69" t="inlineStr">
        <is>
          <t>9.21c</t>
        </is>
      </c>
      <c r="F34" s="69" t="inlineStr">
        <is>
          <t>Son el mismo problema: alguien de fuera deja sus datos y alguien de dentro los atiende. Copiar la forma que ya funciona sale mas barato que inventar la segunda, y quien conozca una bandeja conoce las dos. Lo cerrado deja el hueco libre: quien vuelve a escribir el ano que viene es un contacto nuevo de verdad, no un duplicado.</t>
        </is>
      </c>
    </row>
    <row r="35" ht="68.25" customHeight="1" s="36">
      <c r="A35" s="67" t="inlineStr">
        <is>
          <t>DEC-244</t>
        </is>
      </c>
      <c r="B35" s="68" t="inlineStr">
        <is>
          <t>Decidida</t>
        </is>
      </c>
      <c r="C35" s="68" t="n"/>
      <c r="D35" s="69" t="inlineStr">
        <is>
          <t>Descartar no es borrar, y convertir se hace en dos pasos</t>
        </is>
      </c>
      <c r="E35" s="69" t="inlineStr">
        <is>
          <t>9.21c</t>
        </is>
      </c>
      <c r="F35" s="69" t="inlineStr">
        <is>
          <t>De esta tabla salen «.de donde salio este cliente?» y «.cuantos descartamos y por que?»; borrar se lleva las dos por delante. Descartar exige un motivo de al menos diez caracteres. Y convertir exige decir en que cliente: crear ese cliente se sigue haciendo en su pantalla de siempre, porque duplicar el formulario seria tener dos sitios donde se crea un cliente.</t>
        </is>
      </c>
    </row>
    <row r="36" ht="57" customHeight="1" s="36">
      <c r="A36" s="67" t="inlineStr">
        <is>
          <t>DEC-238</t>
        </is>
      </c>
      <c r="B36" s="68" t="inlineStr">
        <is>
          <t>Decidida</t>
        </is>
      </c>
      <c r="C36" s="68" t="n"/>
      <c r="D36" s="69" t="inlineStr">
        <is>
          <t>/ habla a las MARCAS y /creadores a los creadores</t>
        </is>
      </c>
      <c r="E36" s="69" t="inlineStr">
        <is>
          <t>9.21b</t>
        </is>
      </c>
      <c r="F36" s="69" t="inlineStr">
        <is>
          <t>Es un mercado de dos lados y el lado que PAGA se pone en la puerta: una portada que abre reclutando creadores se lee como «agencia buscando talento». Los creadores llegan por un enlace, no por la home. Las dos se enlazan entre si. El argumento en contra queda escrito: si el cuello de botella es tener creadores, el trafico que hace falta primero es el suyo; aun asi la home no cambia, porque moverla despues cuesta posicionamiento.</t>
        </is>
      </c>
    </row>
    <row r="37" ht="68.25" customHeight="1" s="36">
      <c r="A37" s="67" t="inlineStr">
        <is>
          <t>DEC-239</t>
        </is>
      </c>
      <c r="B37" s="68" t="inlineStr">
        <is>
          <t>Decidida</t>
        </is>
      </c>
      <c r="C37" s="68" t="n"/>
      <c r="D37" s="69" t="inlineStr">
        <is>
          <t>El texto de la portada es un dato, y cuelga de la marca</t>
        </is>
      </c>
      <c r="E37" s="69" t="inlineStr">
        <is>
          <t>9.21b</t>
        </is>
      </c>
      <c r="F37" s="69" t="inlineStr">
        <is>
          <t>DEC-190 en el sitio donde mas se nota: la marca del panel la ve quien ya entro; esto lo ve quien todavia esta decidiendo si te escribe. landing_pages lleva platform_brand_id: es UNA columna sobre el eje en el que el producto esta construido --distinto de las asignaciones de tres ejes de 9.17d, que resolvian un problema inexistente--. Dos paginas y no un gestor de contenidos: cada una tiene su formulario y su publico, asi que son codigo.</t>
        </is>
      </c>
    </row>
    <row r="38" ht="45.75" customHeight="1" s="36">
      <c r="A38" s="67" t="inlineStr">
        <is>
          <t>DEC-240</t>
        </is>
      </c>
      <c r="B38" s="68" t="inlineStr">
        <is>
          <t>Decidida</t>
        </is>
      </c>
      <c r="C38" s="68" t="n"/>
      <c r="D38" s="69" t="inlineStr">
        <is>
          <t>La postulacion publica escribe en creator_applications, que ya existia</t>
        </is>
      </c>
      <c r="E38" s="69" t="inlineStr">
        <is>
          <t>9.21b</t>
        </is>
      </c>
      <c r="F38" s="69" t="inlineStr">
        <is>
          <t>Existe desde la Fase 2 con source por defecto «landing», su bandeja y su unica de una solicitud abierta por correo; faltaba la landing que escribiera. Un formulario publico que escribe lleva throttle:5,1 y un campo trampa que una persona no ve; si viene lleno se contesta «gracias» y no se escribe nada. Nada de CAPTCHA: barrera para quien lee con dificultad y tramite de segundos para quien automatiza. Vive en Creator y no en Core: T-74 aplicada antes de romperla.</t>
        </is>
      </c>
    </row>
    <row r="39" ht="90.75" customHeight="1" s="36">
      <c r="A39" s="67" t="inlineStr">
        <is>
          <t>DEC-241</t>
        </is>
      </c>
      <c r="B39" s="68" t="inlineStr">
        <is>
          <t>Decidida</t>
        </is>
      </c>
      <c r="C39" s="68" t="n"/>
      <c r="D39" s="69" t="inlineStr">
        <is>
          <t>Sin portada se va al acceso, no a un 404</t>
        </is>
      </c>
      <c r="E39" s="69" t="inlineStr">
        <is>
          <t>9.21b</t>
        </is>
      </c>
      <c r="F39" s="69" t="inlineStr">
        <is>
          <t>Una instalacion recien migrada no tiene contenido que ensenar, y eso no puede ser un error en la cara de un visitante: es exactamente lo que habia antes. Lo mismo al apagar una portada desde el admin, que es una decision de contenido y no una averia.</t>
        </is>
      </c>
    </row>
    <row r="40" ht="45.75" customHeight="1" s="36">
      <c r="A40" s="67" t="inlineStr">
        <is>
          <t>DEC-236</t>
        </is>
      </c>
      <c r="B40" s="68" t="inlineStr">
        <is>
          <t>Decidida</t>
        </is>
      </c>
      <c r="C40" s="68" t="n"/>
      <c r="D40" s="69" t="inlineStr">
        <is>
          <t>Todo lo que exige sesion vive bajo /backoffice</t>
        </is>
      </c>
      <c r="E40" s="69" t="inlineStr">
        <is>
          <t>9.21a</t>
        </is>
      </c>
      <c r="F40" s="69" t="inlineStr">
        <is>
          <t>Lo vio el negocio antes de escribir una linea de la landing: /creadores tiene que ser la puerta PUBLICA de los creadores, y descubrirlo despues de publicar habria roto enlaces ya compartidos. Dentro entra todo lo que pide sesion sea de quien sea; lo que cada uno ve lo siguen decidiendo sus permisos. Costo una linea porque docs/08 prohibe escribir URLs a mano en las vistas: comprobado, cero resultados en app/, resources/ y config/.</t>
        </is>
      </c>
    </row>
    <row r="41" ht="57" customHeight="1" s="36">
      <c r="A41" s="67" t="inlineStr">
        <is>
          <t>DEC-237</t>
        </is>
      </c>
      <c r="B41" s="68" t="inlineStr">
        <is>
          <t>Decidida</t>
        </is>
      </c>
      <c r="C41" s="68" t="n"/>
      <c r="D41" s="69" t="inlineStr">
        <is>
          <t>Veintiuna rutas se quedan fuera, y cada una con su motivo escrito</t>
        </is>
      </c>
      <c r="E41" s="69" t="inlineStr">
        <is>
          <t>9.21a</t>
        </is>
      </c>
      <c r="F41" s="69" t="inlineStr">
        <is>
          <t>El acceso y la recuperacion son la puerta; la invitacion y la aprobacion llegan por enlace con token a alguien que no tiene cuenta; el logotipo y el favicon los pinta la pantalla de acceso. Dos comparten primer segmento con algo que si se mudo: /contrasena frente a /contrasena/nueva, y /marca frente a /marca/logo. La lista vive en una prueba que recorre todas las rutas con nombre.</t>
        </is>
      </c>
    </row>
    <row r="42" ht="45.75" customHeight="1" s="36">
      <c r="A42" s="67" t="inlineStr">
        <is>
          <t>DEC-233</t>
        </is>
      </c>
      <c r="B42" s="68" t="inlineStr">
        <is>
          <t>Decidida</t>
        </is>
      </c>
      <c r="C42" s="68" t="n"/>
      <c r="D42" s="69" t="inlineStr">
        <is>
          <t>La configuracion tiene UNA sola puerta, y el menu lateral solo lleva trabajo</t>
        </is>
      </c>
      <c r="E42" s="69" t="inlineStr">
        <is>
          <t>9.20</t>
        </is>
      </c>
      <c r="F42" s="69" t="inlineStr">
        <is>
          <t>Nueve pantallas estaban dos veces --sueltas en el menu y dentro de /configuracion--, asi que entrar desde el panel dejaba al usuario en una pantalla que se veia igual que Campanas y con el menu marcando otra entrada. El menu queda en tres grupos --Operacion, Finanzas, Registros-- mas Ajustes: Configuracion, y un grupo del que no se puede ver nada desaparece entero.</t>
        </is>
      </c>
    </row>
    <row r="43" ht="68.25" customHeight="1" s="36">
      <c r="A43" s="67" t="inlineStr">
        <is>
          <t>DEC-234</t>
        </is>
      </c>
      <c r="B43" s="68" t="inlineStr">
        <is>
          <t>Decidida</t>
        </is>
      </c>
      <c r="C43" s="68" t="n"/>
      <c r="D43" s="69" t="inlineStr">
        <is>
          <t>El orden de los grupos es una decision y vive en el registro, no en la plantilla</t>
        </is>
      </c>
      <c r="E43" s="69" t="inlineStr">
        <is>
          <t>9.20</t>
        </is>
      </c>
      <c r="F43" s="69" t="inlineStr">
        <is>
          <t>revision() ordena por URGENCIA, que es lo correcto para una lista de avisos y lo peor para una navegacion: «Fiscal y facturacion» saldria arriba o abajo segun que falte hoy, y un sitio que cambia de forma segun el dia no se aprende. Por lo mismo, que rutas son configuracion sale de Preparacion::rutas() y no de la plantilla.</t>
        </is>
      </c>
    </row>
    <row r="44" ht="79.5" customHeight="1" s="36">
      <c r="A44" s="67" t="inlineStr">
        <is>
          <t>DEC-235</t>
        </is>
      </c>
      <c r="B44" s="68" t="inlineStr">
        <is>
          <t>Decidida</t>
        </is>
      </c>
      <c r="C44" s="68" t="n"/>
      <c r="D44" s="69" t="inlineStr">
        <is>
          <t>Los catalogos son configuracion, con portada propia</t>
        </is>
      </c>
      <c r="E44" s="69" t="inlineStr">
        <is>
          <t>9.20</t>
        </is>
      </c>
      <c r="F44" s="69" t="inlineStr">
        <is>
          <t>Los seis colgaban del menu bajo un titulo que no era un sitio: era una etiqueta. Ahora son un area con portada --cuantas filas y cuantas activas-- y su aviso: una lista sin ninguna fila activa sale en rojo, porque un catalogo vacio no da error, deja un desplegable vacio. La pantalla de cada catalogo no se mueve.</t>
        </is>
      </c>
    </row>
    <row r="45" ht="124.5" customHeight="1" s="36">
      <c r="A45" s="67" t="inlineStr">
        <is>
          <t>DEC-228</t>
        </is>
      </c>
      <c r="B45" s="68" t="inlineStr">
        <is>
          <t>Decidida</t>
        </is>
      </c>
      <c r="C45" s="68" t="n"/>
      <c r="D45" s="69" t="inlineStr">
        <is>
          <t>Los tipos de comprobante son un catalogo por pais, no un enum en el codigo</t>
        </is>
      </c>
      <c r="E45" s="69" t="inlineStr">
        <is>
          <t>9.12</t>
        </is>
      </c>
      <c r="F45" s="69" t="inlineStr">
        <is>
          <t>ck_ds_type decia IN ('invoice','boleta','credit_note','debit_note','other') desde la Fase 2: la boleta es peruana, el CFDI mexicano no estaba y anadir uno exigia desplegar. Cada tipo declara su codigo oficial de SUNAT, la forma de su serie, como se le pide a una persona y cuantos digitos tiene el correlativo. No contradice a DEC-026: el codigo SE RAMIFICA por proposito de integracion, mientras que el tipo de comprobante NO se ramifica, VIAJA al emisor electronico.</t>
        </is>
      </c>
    </row>
    <row r="46" ht="90.75" customHeight="1" s="36">
      <c r="A46" s="67" t="inlineStr">
        <is>
          <t>DEC-229</t>
        </is>
      </c>
      <c r="B46" s="68" t="inlineStr">
        <is>
          <t>Decidida</t>
        </is>
      </c>
      <c r="C46" s="68" t="n"/>
      <c r="D46" s="69" t="inlineStr">
        <is>
          <t>El numero se reserva bajo bloqueo de la fila de la serie, no con MAX()+1</t>
        </is>
      </c>
      <c r="E46" s="69" t="inlineStr">
        <is>
          <t>9.12</t>
        </is>
      </c>
      <c r="F46" s="69" t="inlineStr">
        <is>
          <t>MAX()+1 es correcto exactamente hasta la primera vez que dos personas emiten a la vez, y eso no es raro: es un cierre de mes. El bloqueo pone en fila a la segunda peticion antes de que lea el contador. Y aun asi existe uq_dn_number: el bloqueo es la primera linea y la unica es la ultima. Medido con dos clientes de verdad (patron de 4.11), con su contraejemplo: sin FOR UPDATE, B no espera.</t>
        </is>
      </c>
    </row>
    <row r="47" ht="68.25" customHeight="1" s="36">
      <c r="A47" s="67" t="inlineStr">
        <is>
          <t>DEC-230</t>
        </is>
      </c>
      <c r="B47" s="68" t="inlineStr">
        <is>
          <t>Decidida</t>
        </is>
      </c>
      <c r="C47" s="68" t="n"/>
      <c r="D47" s="69" t="inlineStr">
        <is>
          <t>Cada numero que sale queda escrito, y el hueco se explica en vez de taparse</t>
        </is>
      </c>
      <c r="E47" s="69" t="inlineStr">
        <is>
          <t>9.12</t>
        </is>
      </c>
      <c r="F47" s="69" t="inlineStr">
        <is>
          <t>Reservar y no emitir deja un numero sin documento, y eso NO se arregla reutilizandolo: reutilizarlo ES el duplicado. document_numbers guarda cada numero con su estado; reserved es el unico del que se sale, used dice a que documento fue y voided dice por que, con un motivo de al menos diez caracteres. Un hueco explicado es defendible ante un requerimiento; uno mudo, no.</t>
        </is>
      </c>
    </row>
    <row r="48" ht="45.75" customHeight="1" s="36">
      <c r="A48" s="67" t="inlineStr">
        <is>
          <t>DEC-231</t>
        </is>
      </c>
      <c r="B48" s="68" t="inlineStr">
        <is>
          <t>Decidida</t>
        </is>
      </c>
      <c r="C48" s="68" t="n"/>
      <c r="D48" s="69" t="inlineStr">
        <is>
          <t>Una sola serie por defecto por (sociedad, tipo, entorno), y la forma la impone el pais</t>
        </is>
      </c>
      <c r="E48" s="69" t="inlineStr">
        <is>
          <t>9.12</t>
        </is>
      </c>
      <c r="F48" s="69" t="inlineStr">
        <is>
          <t>uq_ds_default es la columna puerta 32: con dos series por defecto, «emitir una factura» no tendria respuesta hasta que alguien eligiera. El empate se rechaza al CONFIGURAR y no al emitir. Y tg_ds_forma_ins/upd exige que la serie tenga la forma que declara su tipo y que el tipo sea del pais de la sociedad: una sociedad peruana no emite comprobantes colombianos.</t>
        </is>
      </c>
    </row>
    <row r="49" ht="57" customHeight="1" s="36">
      <c r="A49" s="67" t="inlineStr">
        <is>
          <t>DEC-232</t>
        </is>
      </c>
      <c r="B49" s="68" t="inlineStr">
        <is>
          <t>Decidida</t>
        </is>
      </c>
      <c r="C49" s="68" t="n"/>
      <c r="D49" s="69" t="inlineStr">
        <is>
          <t>Las series NO se siembran: unica configuracion sin valor de partida</t>
        </is>
      </c>
      <c r="E49" s="69" t="inlineStr">
        <is>
          <t>9.12</t>
        </is>
      </c>
      <c r="F49" s="69" t="inlineStr">
        <is>
          <t>Excepcion razonada a DEC-190: una serie se registra ante la administracion tributaria y una inventada produciria comprobantes invalidos ante SUNAT --un valor de fabrica aqui no es comodidad, es un error fiscal--. No bloquea nada, que es lo que DEC-190 exige de verdad: sale en rojo en el panel con las palabras que explican por que no hay ninguna. Lo que si se siembra son los TIPOS, que son la regla del pais.</t>
        </is>
      </c>
    </row>
    <row r="50" ht="79.5" customHeight="1" s="36">
      <c r="A50" s="67" t="inlineStr">
        <is>
          <t>DEC-223</t>
        </is>
      </c>
      <c r="B50" s="68" t="inlineStr">
        <is>
          <t>Decidida</t>
        </is>
      </c>
      <c r="C50" s="68" t="n"/>
      <c r="D50" s="69" t="inlineStr">
        <is>
          <t>Las credenciales de las APIs viven en tres tablas propias, no en .env ni en legal_entities</t>
        </is>
      </c>
      <c r="E50" s="69" t="inlineStr">
        <is>
          <t>9.17d</t>
        </is>
      </c>
      <c r="F50" s="69" t="inlineStr">
        <is>
          <t>DEC-033 y docs/12 ya lo habian decidido y aqui se construye. Una sociedad es QUIEN factura; una conexion es CON QUE se conecta uno a un proveedor, y cambia mucho mas a menudo que una razon social. En .env seria peor: cambiar de entorno de pruebas a produccion exigiria entrar por SSH, que es DEC-190 roto por la puerta de atras.</t>
        </is>
      </c>
    </row>
    <row r="51" ht="113.25" customHeight="1" s="36">
      <c r="A51" s="67" t="inlineStr">
        <is>
          <t>DEC-224</t>
        </is>
      </c>
      <c r="B51" s="68" t="inlineStr">
        <is>
          <t>Decidida</t>
        </is>
      </c>
      <c r="C51" s="68" t="n"/>
      <c r="D51" s="69" t="inlineStr">
        <is>
          <t>Tres tablas de las cinco de docs/12: las asignaciones no se construyen todavia</t>
        </is>
      </c>
      <c r="E51" s="69" t="inlineStr">
        <is>
          <t>9.17d</t>
        </is>
      </c>
      <c r="F51" s="69" t="inlineStr">
        <is>
          <t>El eje (marca, sociedad, pais) con vigencia resuelve un problema que hoy no existe: una conexion sirve a una sociedad o a la plataforma entera, y eso cabe en un legal_entity_id nullable donde NULL significa «de la plataforma». Construir la tabla de tres ejes antes de tener el segundo caso es construir contra un supuesto. Queda escrito en la cabecera de la migracion para que no se tome por un olvido.</t>
        </is>
      </c>
    </row>
    <row r="52" ht="102" customHeight="1" s="36">
      <c r="A52" s="67" t="inlineStr">
        <is>
          <t>DEC-225</t>
        </is>
      </c>
      <c r="B52" s="68" t="inlineStr">
        <is>
          <t>Decidida</t>
        </is>
      </c>
      <c r="C52" s="68" t="n"/>
      <c r="D52" s="69" t="inlineStr">
        <is>
          <t>Rotar una credencial crea la version siguiente y cierra la anterior; no la pisa</t>
        </is>
      </c>
      <c r="E52" s="69" t="inlineStr">
        <is>
          <t>9.17d</t>
        </is>
      </c>
      <c r="F52" s="69" t="inlineStr">
        <is>
          <t>Se guardan el cifrado y los cuatro ultimos caracteres, nada mas. Pisar el valor deja sin respuesta «cual era la de antes» y «cuando cambio». Las dos escrituras van en la misma transaccion y en ese orden, porque uq_icred_vigente solo admite una viva por (conexion, clase). tg_icred_inmutable impide reescribir una credencial: lo unico que cambia en una fila existente es revocarla.</t>
        </is>
      </c>
    </row>
    <row r="53" ht="79.5" customHeight="1" s="36">
      <c r="A53" s="67" t="inlineStr">
        <is>
          <t>DEC-226</t>
        </is>
      </c>
      <c r="B53" s="68" t="inlineStr">
        <is>
          <t>Decidida</t>
        </is>
      </c>
      <c r="C53" s="68" t="n"/>
      <c r="D53" s="69" t="inlineStr">
        <is>
          <t>La bitacora anota QUE cambio, no que valor</t>
        </is>
      </c>
      <c r="E53" s="69" t="inlineStr">
        <is>
          <t>9.17d</t>
        </is>
      </c>
      <c r="F53" s="69" t="inlineStr">
        <is>
          <t>Ni el secreto ni los cuatro ultimos entran en audit_log (BR-SEC-001). Un registro de auditoria que guarda el secreto es un segundo sitio donde esta el secreto, y ademas uno que por diseno no se puede borrar. Por eso el servicio parte la lectura en dos: estado() es lo que ve una persona y secreto() lo llama el cliente de la API.</t>
        </is>
      </c>
    </row>
    <row r="54" ht="45.75" customHeight="1" s="36">
      <c r="A54" s="67" t="inlineStr">
        <is>
          <t>DEC-227</t>
        </is>
      </c>
      <c r="B54" s="68" t="inlineStr">
        <is>
          <t>Decidida</t>
        </is>
      </c>
      <c r="C54" s="68" t="n"/>
      <c r="D54" s="69" t="inlineStr">
        <is>
          <t>Una conexion ACTIVA exige https; un borrador no</t>
        </is>
      </c>
      <c r="E54" s="69" t="inlineStr">
        <is>
          <t>9.17d</t>
        </is>
      </c>
      <c r="F54" s="69" t="inlineStr">
        <is>
          <t>ck_iconn_url es la unica regla de la iteracion que no es de forma sino de fondo: una URL http a un servicio de facturacion manda las claves secundarias por la red en claro. Se puede escribir mientras la conexion es un borrador y no se puede activar. La regla vive en la base y no en el formulario, porque el formulario no es el unico que escribe.</t>
        </is>
      </c>
    </row>
    <row r="55" ht="79.5" customHeight="1" s="36">
      <c r="A55" s="67" t="inlineStr">
        <is>
          <t>DEC-220</t>
        </is>
      </c>
      <c r="B55" s="68" t="inlineStr">
        <is>
          <t>Decidida</t>
        </is>
      </c>
      <c r="C55" s="68" t="n"/>
      <c r="D55" s="69" t="inlineStr">
        <is>
          <t>Core levanta un evento; Creator escucha</t>
        </is>
      </c>
      <c r="E55" s="69" t="inlineStr">
        <is>
          <t>9.19b</t>
        </is>
      </c>
      <c r="F55" s="69" t="inlineStr">
        <is>
          <t>Avisar a los creadores exige leer creators, y Core no puede saber de esa tabla (fue T-74). Terminos::publicar() levanta TerminosPublicados en Shared y no sabe quien escucha; AvisarReaceptacion en Creator escucha y no sabe quien lo levanto. Consecuencia que no es teorica: si el envio falla, la publicacion ya esta hecha. Un SMTP caido no tumba unos terminos.</t>
        </is>
      </c>
    </row>
    <row r="56" ht="79.5" customHeight="1" s="36">
      <c r="A56" s="67" t="inlineStr">
        <is>
          <t>DEC-221</t>
        </is>
      </c>
      <c r="B56" s="68" t="inlineStr">
        <is>
          <t>Decidida</t>
        </is>
      </c>
      <c r="C56" s="68" t="n"/>
      <c r="D56" s="69" t="inlineStr">
        <is>
          <t>El aviso sale solo si el cambio es de fondo, y solo a su audiencia</t>
        </is>
      </c>
      <c r="E56" s="69" t="inlineStr">
        <is>
          <t>9.19b</t>
        </is>
      </c>
      <c r="F56" s="69" t="inlineStr">
        <is>
          <t>Un cambio menor no invalida la aceptacion anterior: avisar de el seria molestar a todo el mundo por una errata, y el aviso que llega por todo deja de leerse. El texto dice ademas QUE PASA DESPUES --«podras seguir viendo, pero no cambiar nada»-- porque «hay terminos nuevos» a secas se pospone y «el dia X dejas de poder trabajar» no.</t>
        </is>
      </c>
    </row>
    <row r="57" ht="68.25" customHeight="1" s="36">
      <c r="A57" s="67" t="inlineStr">
        <is>
          <t>DEC-222</t>
        </is>
      </c>
      <c r="B57" s="68" t="inlineStr">
        <is>
          <t>Decidida</t>
        </is>
      </c>
      <c r="C57" s="68" t="n"/>
      <c r="D57" s="69" t="inlineStr">
        <is>
          <t>Un correo que falla no deja sin avisar a los demas</t>
        </is>
      </c>
      <c r="E57" s="69" t="inlineStr">
        <is>
          <t>9.19b</t>
        </is>
      </c>
      <c r="F57" s="69" t="inlineStr">
        <is>
          <t>Cada envio va en su propio try: con doscientos creadores, que el numero 37 tenga el correo mal escrito no puede dejar sin aviso a los 163 siguientes. Lo que falla queda en el registro para que «a este no le llego» se pueda contestar.</t>
        </is>
      </c>
    </row>
    <row r="58" ht="34.5" customHeight="1" s="36">
      <c r="A58" s="67" t="inlineStr">
        <is>
          <t>DEC-216</t>
        </is>
      </c>
      <c r="B58" s="68" t="inlineStr">
        <is>
          <t>Decidida</t>
        </is>
      </c>
      <c r="C58" s="68" t="n"/>
      <c r="D58" s="69" t="inlineStr">
        <is>
          <t>Los plazos de reaceptacion van en la version, no en una tabla de ajustes</t>
        </is>
      </c>
      <c r="E58" s="69" t="inlineStr">
        <is>
          <t>9.19</t>
        </is>
      </c>
      <c r="F58" s="69" t="inlineStr">
        <is>
          <t>El plazo es parte de lo que se le comunico a la gente: «tienes 15 dias» dicho en enero no puede convertirse en «tenias 10» porque en marzo alguien cambio un ajuste global. Cada version lleva los suyos, se eligen al publicarla y despues son inmutables. Lo configurable es el valor por defecto, que es lo que el formulario trae puesto. readonly_days = 0 significa «sin periodo de solo lectura»; un numero muy grande, lo contrario.</t>
        </is>
      </c>
    </row>
    <row r="59" ht="79.5" customHeight="1" s="36">
      <c r="A59" s="67" t="inlineStr">
        <is>
          <t>DEC-217</t>
        </is>
      </c>
      <c r="B59" s="68" t="inlineStr">
        <is>
          <t>Decidida</t>
        </is>
      </c>
      <c r="C59" s="68" t="n"/>
      <c r="D59" s="69" t="inlineStr">
        <is>
          <t>El reloj no empieza al publicar: empieza cuando le toca a el</t>
        </is>
      </c>
      <c r="E59" s="69" t="inlineStr">
        <is>
          <t>9.19</t>
        </is>
      </c>
      <c r="F59" s="69" t="inlineStr">
        <is>
          <t>Un creador activado ayer no puede aparecer bloqueado por una version de hace tres meses. Su plazo cuenta desde el dia en que se activo, o desde la fecha de la version si es posterior. Sin esto, el primer creador que se diera de alta despues de un cambio de fondo entraria directamente al muro sin haber tenido un solo dia.</t>
        </is>
      </c>
    </row>
    <row r="60" ht="102" customHeight="1" s="36">
      <c r="A60" s="67" t="inlineStr">
        <is>
          <t>DEC-218</t>
        </is>
      </c>
      <c r="B60" s="68" t="inlineStr">
        <is>
          <t>Decidida</t>
        </is>
      </c>
      <c r="C60" s="68" t="n"/>
      <c r="D60" s="69" t="inlineStr">
        <is>
          <t>La pantalla del muro no lleva permiso, y eso es la decision</t>
        </is>
      </c>
      <c r="E60" s="69" t="inlineStr">
        <is>
          <t>9.19</t>
        </is>
      </c>
      <c r="F60" s="69" t="inlineStr">
        <is>
          <t>/mis-terminos es la unica salida de un creador bloqueado: un permiso dejaria sin salida justo a quien la necesita. La autorizacion es tener ficha de creador atada a la sesion. El trinquete de rutas exentas subio de 4 a 6 a mano y con motivo escrito, que es todo el sentido de ese trinquete. Lleva throttle:10,1.</t>
        </is>
      </c>
    </row>
    <row r="61" ht="90.75" customHeight="1" s="36">
      <c r="A61" s="67" t="inlineStr">
        <is>
          <t>DEC-219</t>
        </is>
      </c>
      <c r="B61" s="68" t="inlineStr">
        <is>
          <t>Decidida</t>
        </is>
      </c>
      <c r="C61" s="68" t="n"/>
      <c r="D61" s="69" t="inlineStr">
        <is>
          <t>Una franja fija, no un popup</t>
        </is>
      </c>
      <c r="E61" s="69" t="inlineStr">
        <is>
          <t>9.19</t>
        </is>
      </c>
      <c r="F61" s="69" t="inlineStr">
        <is>
          <t>El negocio pidio «popup como recordatorio al loguearse». Un popup se cierra sin leerlo y no vuelve hasta la siguiente sesion; la franja sigue ahi mientras siga sin aceptarse. El equipo interno no la ve nunca.</t>
        </is>
      </c>
    </row>
    <row r="62" ht="57" customHeight="1" s="36">
      <c r="A62" s="67" t="inlineStr">
        <is>
          <t>DEC-212</t>
        </is>
      </c>
      <c r="B62" s="68" t="inlineStr">
        <is>
          <t>Decidida</t>
        </is>
      </c>
      <c r="C62" s="68" t="n"/>
      <c r="D62" s="69" t="inlineStr">
        <is>
          <t>Una politica de precios con vigencia, no dos constantes</t>
        </is>
      </c>
      <c r="E62" s="69" t="inlineStr">
        <is>
          <t>9.18</t>
        </is>
      </c>
      <c r="F62" s="69" t="inlineStr">
        <is>
          <t>pricing_policies guarda la retencion (Q-13), el umbral de rentabilidad y sobre que se calcula. Los tres cambian: el 29,5 % por decreto y el 20 % con datos reales. Tiene historia --una sola vigente-- y una cerrada no se reescribe ni se borra: es la que explica como se pacto un compromiso de hace tres meses.</t>
        </is>
      </c>
    </row>
    <row r="63" ht="90.75" customHeight="1" s="36">
      <c r="A63" s="67" t="inlineStr">
        <is>
          <t>DEC-213</t>
        </is>
      </c>
      <c r="B63" s="68" t="inlineStr">
        <is>
          <t>Decidida</t>
        </is>
      </c>
      <c r="C63" s="68" t="n"/>
      <c r="D63" s="69" t="inlineStr">
        <is>
          <t>margin_basis es configuracion, no una pregunta</t>
        </is>
      </c>
      <c r="E63" s="69" t="inlineStr">
        <is>
          <t>9.18</t>
        </is>
      </c>
      <c r="F63" s="69" t="inlineStr">
        <is>
          <t>Con 100 de neto y 29,5 % el costo es 141,84; el ejemplo del negocio dio 170,21, que es 141,84 x 1,20 (recargo sobre el COSTO). Un 20 % de margen sobre el INGRESO habria dado 177,31. Lo iba a preguntar dos veces; DEC-190 dice que estas cosas se configuran, y preguntarlo habria sido quemar la respuesta en el codigo con la firma del negocio encima. Es una columna con dos valores, sembrada en cost, con la pantalla ensenando las dos cifras y una prueba de cada una.</t>
        </is>
      </c>
    </row>
    <row r="64" ht="102" customHeight="1" s="36">
      <c r="A64" s="67" t="inlineStr">
        <is>
          <t>DEC-214</t>
        </is>
      </c>
      <c r="B64" s="68" t="inlineStr">
        <is>
          <t>Decidida</t>
        </is>
      </c>
      <c r="C64" s="68" t="n"/>
      <c r="D64" s="69" t="inlineStr">
        <is>
          <t>Se pacta el costo o el neto, y el ingreso minimo se dice, no se impone</t>
        </is>
      </c>
      <c r="E64" s="69" t="inlineStr">
        <is>
          <t>9.18</t>
        </is>
      </c>
      <c r="F64" s="69" t="inlineStr">
        <is>
          <t>agreed_amount sigue siendo el costo: de esa columna cuelgan devengos, pagos y la rentabilidad de 9.10. Se anaden la base, el neto y la tasa. Con net se teclean 100 y se escriben 141,8440, y el motor rehace la resta: un neto que no cuadra con su bruto se descubriria en la conversacion con el creador que cobro de menos. El mensaje dice el ingreso minimo y no bloquea: se puede aceptar menos margen, pero sabiendolo y antes de invitar. Los tres numeros se congelan en la participacion.</t>
        </is>
      </c>
    </row>
    <row r="65" ht="90.75" customHeight="1" s="36">
      <c r="A65" s="67" t="inlineStr">
        <is>
          <t>DEC-215</t>
        </is>
      </c>
      <c r="B65" s="68" t="inlineStr">
        <is>
          <t>Decidida</t>
        </is>
      </c>
      <c r="C65" s="68" t="n"/>
      <c r="D65" s="69" t="inlineStr">
        <is>
          <t>La cuenta la hace el motor, no PHP</t>
        </is>
      </c>
      <c r="E65" s="69" t="inlineStr">
        <is>
          <t>9.18</t>
        </is>
      </c>
      <c r="F65" s="69" t="inlineStr">
        <is>
          <t>neto / (1 - tasa/100) con float da 141.84397163120568 y de ahi a un DECIMAL(18,4) hay un redondeo que puede caer del lado que el CHECK no admite. El contenedor no tiene bcmath, asi que la aritmetica exacta se hace en el motor con CAST a DECIMAL(28,12). Misma tecnica que 9.1 y 9.3.</t>
        </is>
      </c>
    </row>
    <row r="66" ht="68.25" customHeight="1" s="36">
      <c r="A66" s="67" t="inlineStr">
        <is>
          <t>DEC-209</t>
        </is>
      </c>
      <c r="B66" s="68" t="inlineStr">
        <is>
          <t>Decidida</t>
        </is>
      </c>
      <c r="C66" s="68" t="n"/>
      <c r="D66" s="69" t="inlineStr">
        <is>
          <t>La forma del codigo de localidad la declara el pais, no el codigo</t>
        </is>
      </c>
      <c r="E66" s="69" t="inlineStr">
        <is>
          <t>9.17c</t>
        </is>
      </c>
      <c r="F66" s="69" t="inlineStr">
        <is>
          <t>El comprobante peruano lleva el ubigeo del INEI (seis digitos) y el colombiano el codigo DANE (cinco). Una columna ubigeo CHAR(6) habria sido la regla de un pais escrita en el codigo de los seis y rechazaria un codigo colombiano correcto. countries declara como se llama, que forma tiene y si ese pais lo exige; el formulario pide «Ubigeo» a una peruana y «Codigo DANE» a una colombiana sin una linea de codigo por pais. La imponen dos disparadores cruzados que leen el patron de countries.</t>
        </is>
      </c>
    </row>
    <row r="67" ht="68.25" customHeight="1" s="36">
      <c r="A67" s="67" t="inlineStr">
        <is>
          <t>DEC-210</t>
        </is>
      </c>
      <c r="B67" s="68" t="inlineStr">
        <is>
          <t>Decidida</t>
        </is>
      </c>
      <c r="C67" s="68" t="n"/>
      <c r="D67" s="69" t="inlineStr">
        <is>
          <t>El codigo de establecimiento nace en «0000» y no admite nulo</t>
        </is>
      </c>
      <c r="E67" s="69" t="inlineStr">
        <is>
          <t>9.17c</t>
        </is>
      </c>
      <c r="F67" s="69" t="inlineStr">
        <is>
          <t>Un comprobante SIEMPRE lleva uno; dejarlo nulo obligaria a decidirlo al emitir, que es tarde. «0000» es el domicilio fiscal en SUNAT. El formulario lo puede dejar en blanco --al crear y al editar-- y entonces vale 0000: sin esa normalizacion, vaciar el campo metia una cadena vacia que ck_le_establecimiento rechaza con un 45000 sin explicar nada.</t>
        </is>
      </c>
    </row>
    <row r="68" ht="79.5" customHeight="1" s="36">
      <c r="A68" s="67" t="inlineStr">
        <is>
          <t>DEC-211</t>
        </is>
      </c>
      <c r="B68" s="68" t="inlineStr">
        <is>
          <t>Decidida</t>
        </is>
      </c>
      <c r="C68" s="68" t="n"/>
      <c r="D68" s="69" t="inlineStr">
        <is>
          <t>Que falte el ubigeo no bloquea: es un aviso rojo</t>
        </is>
      </c>
      <c r="E68" s="69" t="inlineStr">
        <is>
          <t>9.17c</t>
        </is>
      </c>
      <c r="F68" s="69" t="inlineStr">
        <is>
          <t>requires_tax_location no impide guardar una sociedad a medias; hace que el panel de 9.17b lo enseñe en rojo con el nombre que ese pais le da. Y sale a la luz algo que no decia nadie: el sembrador escribe address_line1 = «Por completar» porque la columna es NOT NULL, la sociedad parecia completa, y ese texto habria salido impreso en un comprobante.</t>
        </is>
      </c>
    </row>
    <row r="69" ht="57" customHeight="1" s="36">
      <c r="A69" s="67" t="inlineStr">
        <is>
          <t>DEC-205</t>
        </is>
      </c>
      <c r="B69" s="68" t="inlineStr">
        <is>
          <t>Decidida</t>
        </is>
      </c>
      <c r="C69" s="68" t="n"/>
      <c r="D69" s="69" t="inlineStr">
        <is>
          <t>Un registro de preparacion, y cada modulo declara lo suyo</t>
        </is>
      </c>
      <c r="E69" s="69" t="inlineStr">
        <is>
          <t>9.17b</t>
        </is>
      </c>
      <c r="F69" s="69" t="inlineStr">
        <is>
          <t>9.16 y 9.17 dejaron cada una su lista de avisos y cada una solo se ve entrando en su pantalla. Preparacion las junta, y cada modulo declara las comprobaciones de su area en su ServiceProvider: un revisor central pondria a Shared a saber de cinco modulos sin que deptrac lo vea, porque son consultas a tablas y no clases importadas. Hay una prueba que se rompe cuando alguien construye una pantalla de configuracion nueva y no la enchufa.</t>
        </is>
      </c>
    </row>
    <row r="70" ht="57" customHeight="1" s="36">
      <c r="A70" s="67" t="inlineStr">
        <is>
          <t>DEC-206</t>
        </is>
      </c>
      <c r="B70" s="68" t="inlineStr">
        <is>
          <t>Decidida</t>
        </is>
      </c>
      <c r="C70" s="68" t="n"/>
      <c r="D70" s="69" t="inlineStr">
        <is>
          <t>Si no puedes arreglarlo, no lo ves</t>
        </is>
      </c>
      <c r="E70" s="69" t="inlineStr">
        <is>
          <t>9.17b</t>
        </is>
      </c>
      <c r="F70" s="69" t="inlineStr">
        <is>
          <t>Cada area declara el permiso con el que SE ARREGLA, no el que hace falta para abrir el panel, y la revision filtra por el. BR-SEC-001 sigue en pie aunque la pantalla reuna en un sitio lo que estaba repartido en cinco, y ningun aviso lleva a un 403. Por eso config.view se le puede dar a finanzas sin miedo: ve el area de tipos de cambio y nada mas.</t>
        </is>
      </c>
    </row>
    <row r="71" ht="45.75" customHeight="1" s="36">
      <c r="A71" s="67" t="inlineStr">
        <is>
          <t>DEC-207</t>
        </is>
      </c>
      <c r="B71" s="68" t="inlineStr">
        <is>
          <t>Decidida</t>
        </is>
      </c>
      <c r="C71" s="68" t="n"/>
      <c r="D71" s="69" t="inlineStr">
        <is>
          <t>Una comprobacion que revienta no tumba el panel</t>
        </is>
      </c>
      <c r="E71" s="69" t="inlineStr">
        <is>
          <t>9.17b</t>
        </is>
      </c>
      <c r="F71" s="69" t="inlineStr">
        <is>
          <t>Un revisor que lanza una excepcion se convierte en un aviso ambar que lo dice, y las demas areas se siguen viendo. Un panel de «que me falta» que responde 500 porque a un area le pasa algo deja de contestar justo el dia en que hay algo que contestar.</t>
        </is>
      </c>
    </row>
    <row r="72" ht="79.5" customHeight="1" s="36">
      <c r="A72" s="67" t="inlineStr">
        <is>
          <t>DEC-208</t>
        </is>
      </c>
      <c r="B72" s="68" t="inlineStr">
        <is>
          <t>Decidida</t>
        </is>
      </c>
      <c r="C72" s="68" t="n"/>
      <c r="D72" s="69" t="inlineStr">
        <is>
          <t>El correo en log es ROJO, y va el primero del panel</t>
        </is>
      </c>
      <c r="E72" s="69" t="inlineStr">
        <is>
          <t>9.17b</t>
        </is>
      </c>
      <c r="F72" s="69" t="inlineStr">
        <is>
          <t>mail.default vale log mientras nadie ponga una cuenta SMTP (Q-20), y con ese valor el correo no sale de la maquina: se escribe en storage/logs. La aplicacion no falla, la bitacora dice enviado y el creador no recibe su enlace de alta. Es el modo de fallo mas caro del sistema porque no se nota desde dentro, y hasta hoy no lo decia ninguna pantalla.</t>
        </is>
      </c>
    </row>
    <row r="73" ht="68.25" customHeight="1" s="36">
      <c r="A73" s="67" t="inlineStr">
        <is>
          <t>DEC-199</t>
        </is>
      </c>
      <c r="B73" s="68" t="inlineStr">
        <is>
          <t>Decidida</t>
        </is>
      </c>
      <c r="C73" s="68" t="n"/>
      <c r="D73" s="69" t="inlineStr">
        <is>
          <t>La marca es una fila, y hay UNA sola por defecto</t>
        </is>
      </c>
      <c r="E73" s="69" t="inlineStr">
        <is>
          <t>9.17</t>
        </is>
      </c>
      <c r="F73" s="69" t="inlineStr">
        <is>
          <t>«LATAM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is>
      </c>
    </row>
    <row r="74" ht="68.25" customHeight="1" s="36">
      <c r="A74" s="67" t="inlineStr">
        <is>
          <t>DEC-200</t>
        </is>
      </c>
      <c r="B74" s="68" t="inlineStr">
        <is>
          <t>Decidida</t>
        </is>
      </c>
      <c r="C74" s="68" t="n"/>
      <c r="D74" s="69" t="inlineStr">
        <is>
          <t>Una configuracion que falta NO bloquea: valor de partida y aviso con prioridad</t>
        </is>
      </c>
      <c r="E74" s="69" t="inlineStr">
        <is>
          <t>9.17</t>
        </is>
      </c>
      <c r="F74" s="69" t="inlineStr">
        <is>
          <t>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is>
      </c>
    </row>
    <row r="75" ht="57" customHeight="1" s="36">
      <c r="A75" s="67" t="inlineStr">
        <is>
          <t>DEC-201</t>
        </is>
      </c>
      <c r="B75" s="68" t="inlineStr">
        <is>
          <t>Decidida</t>
        </is>
      </c>
      <c r="C75" s="68" t="n"/>
      <c r="D75" s="69" t="inlineStr">
        <is>
          <t>El logotipo se sirve por una puerta publica propia, sin identificador</t>
        </is>
      </c>
      <c r="E75" s="69" t="inlineStr">
        <is>
          <t>9.17</t>
        </is>
      </c>
      <c r="F75" s="69" t="inlineStr">
        <is>
          <t>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is>
      </c>
    </row>
    <row r="76" ht="45.75" customHeight="1" s="36">
      <c r="A76" s="67" t="inlineStr">
        <is>
          <t>DEC-202</t>
        </is>
      </c>
      <c r="B76" s="68" t="inlineStr">
        <is>
          <t>Decidida</t>
        </is>
      </c>
      <c r="C76" s="68" t="n"/>
      <c r="D76" s="69" t="inlineStr">
        <is>
          <t>El codigo de la marca no se cambia; el nombre visible si</t>
        </is>
      </c>
      <c r="E76" s="69" t="inlineStr">
        <is>
          <t>9.17</t>
        </is>
      </c>
      <c r="F76" s="69" t="inlineStr">
        <is>
          <t>tg_pb_code lo impide en el motor. El code es la llave con la que el sembrador encuentra la marca: si cambia, el siguiente db:seed crea otra, el sistema amanece con dos y las pantallas siguen ensenando la vieja mientras alguien edita la nueva.</t>
        </is>
      </c>
    </row>
    <row r="77" ht="68.25" customHeight="1" s="36">
      <c r="A77" s="67" t="inlineStr">
        <is>
          <t>DEC-203</t>
        </is>
      </c>
      <c r="B77" s="68" t="inlineStr">
        <is>
          <t>Decidida</t>
        </is>
      </c>
      <c r="C77" s="68" t="n"/>
      <c r="D77" s="69" t="inlineStr">
        <is>
          <t>Los colores y la tipografia se desinfectan ademas del CHECK</t>
        </is>
      </c>
      <c r="E77" s="69" t="inlineStr">
        <is>
          <t>9.17</t>
        </is>
      </c>
      <c r="F77" s="69" t="inlineStr">
        <is>
          <t>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is>
      </c>
    </row>
    <row r="78" ht="57" customHeight="1" s="36">
      <c r="A78" s="67" t="inlineStr">
        <is>
          <t>DEC-204</t>
        </is>
      </c>
      <c r="B78" s="68" t="inlineStr">
        <is>
          <t>Decidida</t>
        </is>
      </c>
      <c r="C78" s="68" t="n"/>
      <c r="D78" s="69" t="inlineStr">
        <is>
          <t>brand.manage es un permiso propio, y no legal_entity.manage</t>
        </is>
      </c>
      <c r="E78" s="69" t="inlineStr">
        <is>
          <t>9.17</t>
        </is>
      </c>
      <c r="F78" s="69" t="inlineStr">
        <is>
          <t>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is>
      </c>
    </row>
    <row r="79" ht="57" customHeight="1" s="36">
      <c r="A79" s="67" t="inlineStr">
        <is>
          <t>DEC-198</t>
        </is>
      </c>
      <c r="B79" s="68" t="inlineStr">
        <is>
          <t>Decidida</t>
        </is>
      </c>
      <c r="C79" s="68" t="n"/>
      <c r="D79" s="69" t="inlineStr">
        <is>
          <t>El permiso se mira en CADA peticion: no hay URL firmada de archivo.</t>
        </is>
      </c>
      <c r="E79" s="69" t="inlineStr">
        <is>
          <t>9.15</t>
        </is>
      </c>
      <c r="F79" s="69" t="inlineStr">
        <is>
          <t>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is>
      </c>
    </row>
    <row r="80" ht="68.25" customHeight="1" s="36">
      <c r="A80" s="67" t="inlineStr">
        <is>
          <t>DEC-197</t>
        </is>
      </c>
      <c r="B80" s="68" t="inlineStr">
        <is>
          <t>Decidida</t>
        </is>
      </c>
      <c r="C80" s="68" t="n"/>
      <c r="D80" s="69" t="inlineStr">
        <is>
          <t>Cada modulo declara quien puede ver SUS archivos; no hay un switch central.</t>
        </is>
      </c>
      <c r="E80" s="69" t="inlineStr">
        <is>
          <t>9.15</t>
        </is>
      </c>
      <c r="F80" s="69" t="inlineStr">
        <is>
          <t>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is>
      </c>
    </row>
    <row r="81" ht="68.25" customHeight="1" s="36">
      <c r="A81" s="67" t="inlineStr">
        <is>
          <t>DEC-196</t>
        </is>
      </c>
      <c r="B81" s="68" t="inlineStr">
        <is>
          <t>Decidida</t>
        </is>
      </c>
      <c r="C81" s="68" t="n"/>
      <c r="D81" s="69" t="inlineStr">
        <is>
          <t>La Academia del creador se construye, y cada modulo se configura desde el admin.</t>
        </is>
      </c>
      <c r="E81" s="69" t="inlineStr">
        <is>
          <t>14.8</t>
        </is>
      </c>
      <c r="F81" s="69" t="inlineStr">
        <is>
          <t>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is>
      </c>
    </row>
    <row r="82" ht="45.75" customHeight="1" s="36">
      <c r="A82" s="67" t="inlineStr">
        <is>
          <t>DEC-195</t>
        </is>
      </c>
      <c r="B82" s="68" t="inlineStr">
        <is>
          <t>Decidida</t>
        </is>
      </c>
      <c r="C82" s="68" t="n"/>
      <c r="D82" s="69" t="inlineStr">
        <is>
          <t>El lado del tipo de cambio se configura POR TIPO DE TRANSACCION.</t>
        </is>
      </c>
      <c r="E82" s="69" t="inlineStr">
        <is>
          <t>9.16</t>
        </is>
      </c>
      <c r="F82" s="69" t="inlineStr">
        <is>
          <t>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is>
      </c>
    </row>
    <row r="83" ht="68.25" customHeight="1" s="36">
      <c r="A83" s="67" t="inlineStr">
        <is>
          <t>DEC-194</t>
        </is>
      </c>
      <c r="B83" s="68" t="inlineStr">
        <is>
          <t>Decidida</t>
        </is>
      </c>
      <c r="C83" s="68" t="n"/>
      <c r="D83" s="69" t="inlineStr">
        <is>
          <t>La gamificacion premia con reconocimiento y con un catalogo de premios canjeables por XP.</t>
        </is>
      </c>
      <c r="E83" s="69" t="inlineStr">
        <is>
          <t>9.16</t>
        </is>
      </c>
      <c r="F83" s="69" t="inlineStr">
        <is>
          <t>Nada de dinero. Los premios --viajes, objetos-- viven en una tabla configurable desde el admin con su coste en XP y su disponibilidad, y el creador los canjea. El hito que consolida un referido es la primera campana completada (Q-25). Cierra Q-23, Q-24 y Q-26</t>
        </is>
      </c>
    </row>
    <row r="84" ht="57" customHeight="1" s="36">
      <c r="A84" s="67" t="inlineStr">
        <is>
          <t>DEC-193</t>
        </is>
      </c>
      <c r="B84" s="68" t="inlineStr">
        <is>
          <t>Decidida</t>
        </is>
      </c>
      <c r="C84" s="68" t="n"/>
      <c r="D84" s="69" t="inlineStr">
        <is>
          <t>Publicar terminos nuevos no expulsa a nadie de golpe: hay plazo, aviso y aterrizaje suave.</t>
        </is>
      </c>
      <c r="E84" s="69" t="inlineStr">
        <is>
          <t>9.16</t>
        </is>
      </c>
      <c r="F84" s="69" t="inlineStr">
        <is>
          <t>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is>
      </c>
    </row>
    <row r="85" ht="57" customHeight="1" s="36">
      <c r="A85" s="67" t="inlineStr">
        <is>
          <t>DEC-192</t>
        </is>
      </c>
      <c r="B85" s="68" t="inlineStr">
        <is>
          <t>Decidida</t>
        </is>
      </c>
      <c r="C85" s="68" t="n"/>
      <c r="D85" s="69" t="inlineStr">
        <is>
          <t>Facturacion electronica DIRECTA con SUNAT, no por proveedor.</t>
        </is>
      </c>
      <c r="E85" s="69" t="inlineStr">
        <is>
          <t>9.16</t>
        </is>
      </c>
      <c r="F85" s="69" t="inlineStr">
        <is>
          <t>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is>
      </c>
    </row>
    <row r="86" ht="57" customHeight="1" s="36">
      <c r="A86" s="67" t="inlineStr">
        <is>
          <t>DEC-191</t>
        </is>
      </c>
      <c r="B86" s="68" t="inlineStr">
        <is>
          <t>Decidida</t>
        </is>
      </c>
      <c r="C86" s="68" t="n"/>
      <c r="D86" s="69" t="inlineStr">
        <is>
          <t>La retencion se calcula HACIA ATRAS desde el neto pactado, y se compara con un umbral de rentabilidad.</t>
        </is>
      </c>
      <c r="E86" s="69" t="inlineStr">
        <is>
          <t>9.16</t>
        </is>
      </c>
      <c r="F86" s="69" t="inlineStr">
        <is>
          <t>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is>
      </c>
    </row>
    <row r="87" ht="68.25" customHeight="1" s="36">
      <c r="A87" s="67" t="inlineStr">
        <is>
          <t>DEC-190</t>
        </is>
      </c>
      <c r="B87" s="68" t="inlineStr">
        <is>
          <t>Decidida</t>
        </is>
      </c>
      <c r="C87" s="68" t="inlineStr">
        <is>
          <t>Critica</t>
        </is>
      </c>
      <c r="D87" s="69" t="inlineStr">
        <is>
          <t>PRINCIPIO RECTOR: la plataforma es WHITE LABEL y todo se configura desde el admin.</t>
        </is>
      </c>
      <c r="E87" s="69" t="inlineStr">
        <is>
          <t>9.16</t>
        </is>
      </c>
      <c r="F87" s="69" t="inlineStr">
        <is>
          <t>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is>
      </c>
    </row>
    <row r="88" ht="34.5" customHeight="1" s="36">
      <c r="A88" s="67" t="inlineStr">
        <is>
          <t>DEC-189</t>
        </is>
      </c>
      <c r="B88" s="68" t="inlineStr">
        <is>
          <t>Decidida</t>
        </is>
      </c>
      <c r="C88" s="68" t="n"/>
      <c r="D88" s="69" t="inlineStr">
        <is>
          <t>Las 23 rutas sin permiso se escriben, con su motivo, en RUTAS-ABIERTAS.</t>
        </is>
      </c>
      <c r="E88" s="69" t="inlineStr">
        <is>
          <t>9.14b</t>
        </is>
      </c>
      <c r="F88" s="69" t="inlineStr">
        <is>
          <t>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is>
      </c>
    </row>
    <row r="89" ht="57" customHeight="1" s="36">
      <c r="A89" s="67" t="inlineStr">
        <is>
          <t>DEC-188</t>
        </is>
      </c>
      <c r="B89" s="68" t="inlineStr">
        <is>
          <t>Decidida</t>
        </is>
      </c>
      <c r="C89" s="68" t="n"/>
      <c r="D89" s="69" t="inlineStr">
        <is>
          <t>El muro se prueba recorriendo TODAS las rutas, no las que uno recuerda.</t>
        </is>
      </c>
      <c r="E89" s="69" t="inlineStr">
        <is>
          <t>9.14b</t>
        </is>
      </c>
      <c r="F89" s="69" t="inlineStr">
        <is>
          <t>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is>
      </c>
    </row>
    <row r="90" ht="45.75" customHeight="1" s="36">
      <c r="A90" s="67" t="inlineStr">
        <is>
          <t>DEC-187</t>
        </is>
      </c>
      <c r="B90" s="68" t="inlineStr">
        <is>
          <t>Decidida</t>
        </is>
      </c>
      <c r="C90" s="68" t="n"/>
      <c r="D90" s="69" t="inlineStr">
        <is>
          <t>Una suite de QA se construye SU caso y no reusa el de nadie.</t>
        </is>
      </c>
      <c r="E90" s="69" t="inlineStr">
        <is>
          <t>9.14</t>
        </is>
      </c>
      <c r="F90" s="69" t="inlineStr">
        <is>
          <t>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is>
      </c>
    </row>
    <row r="91" ht="45.75" customHeight="1" s="36">
      <c r="A91" s="67" t="inlineStr">
        <is>
          <t>DEC-186</t>
        </is>
      </c>
      <c r="B91" s="68" t="inlineStr">
        <is>
          <t>Decidida</t>
        </is>
      </c>
      <c r="C91" s="68" t="n"/>
      <c r="D91" s="69" t="inlineStr">
        <is>
          <t>Nace verificar-cobertura-sql.py: que regla de la base no ha contestado NUNCA a nadie.</t>
        </is>
      </c>
      <c r="E91" s="69" t="inlineStr">
        <is>
          <t>9.14</t>
        </is>
      </c>
      <c r="F91" s="69" t="inlineStr">
        <is>
          <t>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is>
      </c>
    </row>
    <row r="92" ht="34.5" customHeight="1" s="36">
      <c r="A92" s="67" t="inlineStr">
        <is>
          <t>DEC-185</t>
        </is>
      </c>
      <c r="B92" s="68" t="inlineStr">
        <is>
          <t>Decidida</t>
        </is>
      </c>
      <c r="C92" s="68" t="n"/>
      <c r="D92" s="69" t="inlineStr">
        <is>
          <t>El porcentaje de margen solo se da cuando todo esta en una moneda, y si no, se dice por que.</t>
        </is>
      </c>
      <c r="E92" s="69" t="inlineStr">
        <is>
          <t>9.10</t>
        </is>
      </c>
      <c r="F92" s="69" t="inlineStr">
        <is>
          <t>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is>
      </c>
    </row>
    <row r="93" ht="45.75" customHeight="1" s="36">
      <c r="A93" s="67" t="inlineStr">
        <is>
          <t>DEC-184</t>
        </is>
      </c>
      <c r="B93" s="68" t="inlineStr">
        <is>
          <t>Decidida</t>
        </is>
      </c>
      <c r="C93" s="68" t="n"/>
      <c r="D93" s="69" t="inlineStr">
        <is>
          <t>Los canjes salen en la lista, marcados, y fuera de todo total.</t>
        </is>
      </c>
      <c r="E93" s="69" t="inlineStr">
        <is>
          <t>9.10</t>
        </is>
      </c>
      <c r="F93" s="69" t="inlineStr">
        <is>
          <t>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is>
      </c>
    </row>
    <row r="94" ht="45.75" customHeight="1" s="36">
      <c r="A94" s="67" t="inlineStr">
        <is>
          <t>DEC-183</t>
        </is>
      </c>
      <c r="B94" s="68" t="inlineStr">
        <is>
          <t>Decidida</t>
        </is>
      </c>
      <c r="C94" s="68" t="n"/>
      <c r="D94" s="69" t="inlineStr">
        <is>
          <t>Compromiso::margen() se BORRA, no se arregla.</t>
        </is>
      </c>
      <c r="E94" s="69" t="inlineStr">
        <is>
          <t>9.10</t>
        </is>
      </c>
      <c r="F94" s="69" t="inlineStr">
        <is>
          <t>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is>
      </c>
    </row>
    <row r="95" ht="57" customHeight="1" s="36">
      <c r="A95" s="67" t="inlineStr">
        <is>
          <t>DEC-182</t>
        </is>
      </c>
      <c r="B95" s="68" t="inlineStr">
        <is>
          <t>Decidida</t>
        </is>
      </c>
      <c r="C95" s="68" t="n"/>
      <c r="D95" s="69" t="inlineStr">
        <is>
          <t>El costo del creador entra al DEVENGARSE, no al pagarse.</t>
        </is>
      </c>
      <c r="E95" s="69" t="inlineStr">
        <is>
          <t>9.10a</t>
        </is>
      </c>
      <c r="F95" s="69" t="inlineStr">
        <is>
          <t>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is>
      </c>
    </row>
    <row r="96" ht="57" customHeight="1" s="36">
      <c r="A96" s="67" t="inlineStr">
        <is>
          <t>DEC-181</t>
        </is>
      </c>
      <c r="B96" s="68" t="inlineStr">
        <is>
          <t>Decidida</t>
        </is>
      </c>
      <c r="C96" s="68" t="n"/>
      <c r="D96" s="69" t="inlineStr">
        <is>
          <t>Cargar gastos no es ver el margen: campaign_manager pierde campaign.view_margin.</t>
        </is>
      </c>
      <c r="E96" s="69" t="inlineStr">
        <is>
          <t>9.10a</t>
        </is>
      </c>
      <c r="F96" s="69" t="inlineStr">
        <is>
          <t>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is>
      </c>
    </row>
    <row r="97" ht="57" customHeight="1" s="36">
      <c r="A97" s="67" t="inlineStr">
        <is>
          <t>DEC-180</t>
        </is>
      </c>
      <c r="B97" s="68" t="inlineStr">
        <is>
          <t>Decidida</t>
        </is>
      </c>
      <c r="C97" s="68" t="n"/>
      <c r="D97" s="69" t="inlineStr">
        <is>
          <t>El gasto de una campana se agrupa por moneda: no se suma.</t>
        </is>
      </c>
      <c r="E97" s="69" t="inlineStr">
        <is>
          <t>9.10a</t>
        </is>
      </c>
      <c r="F97" s="69" t="inlineStr">
        <is>
          <t>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is>
      </c>
    </row>
    <row r="98" ht="34.5" customHeight="1" s="36">
      <c r="A98" s="67" t="inlineStr">
        <is>
          <t>DEC-179</t>
        </is>
      </c>
      <c r="B98" s="68" t="inlineStr">
        <is>
          <t>Decidida</t>
        </is>
      </c>
      <c r="C98" s="68" t="n"/>
      <c r="D98" s="69" t="inlineStr">
        <is>
          <t>Al creador se le avisa al CONFIRMAR y al DEVOLVER, no al enviar.</t>
        </is>
      </c>
      <c r="E98" s="69" t="inlineStr">
        <is>
          <t>9.7</t>
        </is>
      </c>
      <c r="F98" s="69" t="inlineStr">
        <is>
          <t>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is>
      </c>
    </row>
    <row r="99" ht="57" customHeight="1" s="36">
      <c r="A99" s="67" t="inlineStr">
        <is>
          <t>DEC-178</t>
        </is>
      </c>
      <c r="B99" s="68" t="inlineStr">
        <is>
          <t>Decidida</t>
        </is>
      </c>
      <c r="C99" s="68" t="n"/>
      <c r="D99" s="69" t="inlineStr">
        <is>
          <t>Un pago devuelto por el banco NO deshace el devengo.</t>
        </is>
      </c>
      <c r="E99" s="69" t="inlineStr">
        <is>
          <t>9.7</t>
        </is>
      </c>
      <c r="F99" s="69" t="inlineStr">
        <is>
          <t>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is>
      </c>
    </row>
    <row r="100" ht="34.5" customHeight="1" s="36">
      <c r="A100" s="67" t="inlineStr">
        <is>
          <t>DEC-177</t>
        </is>
      </c>
      <c r="B100" s="68" t="inlineStr">
        <is>
          <t>Decidida</t>
        </is>
      </c>
      <c r="C100" s="68" t="n"/>
      <c r="D100" s="69" t="inlineStr">
        <is>
          <t>El CSV del lote NO es el archivo del banco.</t>
        </is>
      </c>
      <c r="E100" s="69" t="inlineStr">
        <is>
          <t>9.6</t>
        </is>
      </c>
      <c r="F100" s="69" t="inlineStr">
        <is>
          <t>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is>
      </c>
    </row>
    <row r="101" ht="34.5" customHeight="1" s="36">
      <c r="A101" s="67" t="inlineStr">
        <is>
          <t>DEC-176</t>
        </is>
      </c>
      <c r="B101" s="68" t="inlineStr">
        <is>
          <t>Decidida</t>
        </is>
      </c>
      <c r="C101" s="68" t="n"/>
      <c r="D101" s="69" t="inlineStr">
        <is>
          <t>Sacar un pago de un lote firmado NO obliga a firmarlo otra vez.</t>
        </is>
      </c>
      <c r="E101" s="69" t="inlineStr">
        <is>
          <t>9.6</t>
        </is>
      </c>
      <c r="F101" s="69" t="inlineStr">
        <is>
          <t>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is>
      </c>
    </row>
    <row r="102" ht="57" customHeight="1" s="36">
      <c r="A102" s="67" t="inlineStr">
        <is>
          <t>DEC-175</t>
        </is>
      </c>
      <c r="B102" s="68" t="inlineStr">
        <is>
          <t>Decidida</t>
        </is>
      </c>
      <c r="C102" s="68" t="n"/>
      <c r="D102" s="69" t="inlineStr">
        <is>
          <t>Dos firmas SIEMPRE, sin umbral.</t>
        </is>
      </c>
      <c r="E102" s="69" t="inlineStr">
        <is>
          <t>9.6</t>
        </is>
      </c>
      <c r="F102" s="69" t="inlineStr">
        <is>
          <t>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is>
      </c>
    </row>
    <row r="103" ht="68.25" customHeight="1" s="36">
      <c r="A103" s="67" t="inlineStr">
        <is>
          <t>DEC-174</t>
        </is>
      </c>
      <c r="B103" s="68" t="inlineStr">
        <is>
          <t>Decidida</t>
        </is>
      </c>
      <c r="C103" s="68" t="n"/>
      <c r="D103" s="69" t="inlineStr">
        <is>
          <t>Nace payout_earnings: que devengos paga cada pago.</t>
        </is>
      </c>
      <c r="E103" s="69" t="inlineStr">
        <is>
          <t>9.6</t>
        </is>
      </c>
      <c r="F103" s="69" t="inlineStr">
        <is>
          <t>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is>
      </c>
    </row>
    <row r="104" ht="34.5" customHeight="1" s="36">
      <c r="A104" s="67" t="inlineStr">
        <is>
          <t>DEC-173</t>
        </is>
      </c>
      <c r="B104" s="68" t="inlineStr">
        <is>
          <t>Decidida</t>
        </is>
      </c>
      <c r="C104" s="68" t="n"/>
      <c r="D104" s="69" t="inlineStr">
        <is>
          <t>La fecha de cobro se ensena SOLO cuando el asiento ya es pagable.</t>
        </is>
      </c>
      <c r="E104" s="69" t="inlineStr">
        <is>
          <t>9.8</t>
        </is>
      </c>
      <c r="F104" s="69" t="inlineStr">
        <is>
          <t>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is>
      </c>
    </row>
    <row r="105" ht="57" customHeight="1" s="36">
      <c r="A105" s="67" t="inlineStr">
        <is>
          <t>DEC-172</t>
        </is>
      </c>
      <c r="B105" s="68" t="inlineStr">
        <is>
          <t>Decidida</t>
        </is>
      </c>
      <c r="C105" s="68" t="n"/>
      <c r="D105" s="69" t="inlineStr">
        <is>
          <t>El motivo interno de una retencion NO se le ensena al creador.</t>
        </is>
      </c>
      <c r="E105" s="69" t="inlineStr">
        <is>
          <t>9.8</t>
        </is>
      </c>
      <c r="F105" s="69" t="inlineStr">
        <is>
          <t>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is>
      </c>
    </row>
    <row r="106" ht="34.5" customHeight="1" s="36">
      <c r="A106" s="67" t="inlineStr">
        <is>
          <t>DEC-171</t>
        </is>
      </c>
      <c r="B106" s="68" t="inlineStr">
        <is>
          <t>Decidida</t>
        </is>
      </c>
      <c r="C106" s="68" t="n"/>
      <c r="D106" s="69" t="inlineStr">
        <is>
          <t>El barrido rescata las aceptaciones sin devengo, y avisa de que hubo que rescatarlas.</t>
        </is>
      </c>
      <c r="E106" s="69" t="inlineStr">
        <is>
          <t>9.4</t>
        </is>
      </c>
      <c r="F106" s="69" t="inlineStr">
        <is>
          <t>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is>
      </c>
    </row>
    <row r="107" ht="45.75" customHeight="1" s="36">
      <c r="A107" s="67" t="inlineStr">
        <is>
          <t>DEC-170</t>
        </is>
      </c>
      <c r="B107" s="68" t="inlineStr">
        <is>
          <t>Decidida</t>
        </is>
      </c>
      <c r="C107" s="68" t="n"/>
      <c r="D107" s="69" t="inlineStr">
        <is>
          <t>Se devenga al ACEPTAR, no al terminar, y por evento.</t>
        </is>
      </c>
      <c r="E107" s="69" t="inlineStr">
        <is>
          <t>9.4</t>
        </is>
      </c>
      <c r="F107" s="69" t="inlineStr">
        <is>
          <t>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is>
      </c>
    </row>
    <row r="108" ht="57" customHeight="1" s="36">
      <c r="A108" s="67" t="inlineStr">
        <is>
          <t>DEC-169</t>
        </is>
      </c>
      <c r="B108" s="68" t="inlineStr">
        <is>
          <t>Decidida</t>
        </is>
      </c>
      <c r="C108" s="68" t="n"/>
      <c r="D108" s="69" t="inlineStr">
        <is>
          <t>El estado de un asiento tiene un grafo, y moverlo exige decir por que.</t>
        </is>
      </c>
      <c r="E108" s="69" t="inlineStr">
        <is>
          <t>9.3</t>
        </is>
      </c>
      <c r="F108" s="69" t="inlineStr">
        <is>
          <t>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is>
      </c>
    </row>
    <row r="109" ht="45.75" customHeight="1" s="36">
      <c r="A109" s="67" t="inlineStr">
        <is>
          <t>DEC-168</t>
        </is>
      </c>
      <c r="B109" s="68" t="inlineStr">
        <is>
          <t>Decidida</t>
        </is>
      </c>
      <c r="C109" s="68" t="n"/>
      <c r="D109" s="69" t="inlineStr">
        <is>
          <t>El asiento va en la moneda PACTADA; se convierte al pagar.</t>
        </is>
      </c>
      <c r="E109" s="69" t="inlineStr">
        <is>
          <t>9.3</t>
        </is>
      </c>
      <c r="F109" s="69" t="inlineStr">
        <is>
          <t>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is>
      </c>
    </row>
    <row r="110" ht="34.5" customHeight="1" s="36">
      <c r="A110" s="67" t="inlineStr">
        <is>
          <t>DEC-167</t>
        </is>
      </c>
      <c r="B110" s="68" t="inlineStr">
        <is>
          <t>Decidida</t>
        </is>
      </c>
      <c r="C110" s="68" t="n"/>
      <c r="D110" s="69" t="inlineStr">
        <is>
          <t>Un post caido RETIENE el asiento; no lo anula.</t>
        </is>
      </c>
      <c r="E110" s="69" t="inlineStr">
        <is>
          <t>9.3</t>
        </is>
      </c>
      <c r="F110" s="69" t="inlineStr">
        <is>
          <t>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is>
      </c>
    </row>
    <row r="111" ht="57" customHeight="1" s="36">
      <c r="A111" s="67" t="inlineStr">
        <is>
          <t>DEC-166</t>
        </is>
      </c>
      <c r="B111" s="68" t="inlineStr">
        <is>
          <t>Decidida</t>
        </is>
      </c>
      <c r="C111" s="68" t="n"/>
      <c r="D111" s="69" t="inlineStr">
        <is>
          <t>Pasar un devengo a pagable lo hace el SISTEMA, no una persona.</t>
        </is>
      </c>
      <c r="E111" s="69" t="inlineStr">
        <is>
          <t>9.3</t>
        </is>
      </c>
      <c r="F111" s="69" t="inlineStr">
        <is>
          <t>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is>
      </c>
    </row>
    <row r="112" ht="45.75" customHeight="1" s="36">
      <c r="A112" s="67" t="inlineStr">
        <is>
          <t>DEC-165</t>
        </is>
      </c>
      <c r="B112" s="68" t="inlineStr">
        <is>
          <t>Decidida</t>
        </is>
      </c>
      <c r="C112" s="68" t="n"/>
      <c r="D112" s="69" t="inlineStr">
        <is>
          <t>Decolecta trae USD → PEN y nada mas, y el sistema lo dice en vez de disimularlo.</t>
        </is>
      </c>
      <c r="E112" s="69" t="inlineStr">
        <is>
          <t>9.2</t>
        </is>
      </c>
      <c r="F112" s="69" t="inlineStr">
        <is>
          <t>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is>
      </c>
    </row>
    <row r="113" ht="68.25" customHeight="1" s="36">
      <c r="A113" s="67" t="inlineStr">
        <is>
          <t>DEC-164</t>
        </is>
      </c>
      <c r="B113" s="68" t="inlineStr">
        <is>
          <t>Decidida</t>
        </is>
      </c>
      <c r="C113" s="68" t="n"/>
      <c r="D113" s="69" t="inlineStr">
        <is>
          <t>El cron deja rastro de cada intento, y pide TRES dias.</t>
        </is>
      </c>
      <c r="E113" s="69" t="inlineStr">
        <is>
          <t>9.2</t>
        </is>
      </c>
      <c r="F113" s="69" t="inlineStr">
        <is>
          <t>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is>
      </c>
    </row>
    <row r="114" ht="57" customHeight="1" s="36">
      <c r="A114" s="67" t="inlineStr">
        <is>
          <t>DEC-163</t>
        </is>
      </c>
      <c r="B114" s="68" t="inlineStr">
        <is>
          <t>Decidida</t>
        </is>
      </c>
      <c r="C114" s="68" t="n"/>
      <c r="D114" s="69" t="inlineStr">
        <is>
          <t>Cada final de la traida tiene su nombre, y traer() no lanza.</t>
        </is>
      </c>
      <c r="E114" s="69" t="inlineStr">
        <is>
          <t>9.2</t>
        </is>
      </c>
      <c r="F114" s="69" t="inlineStr">
        <is>
          <t>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is>
      </c>
    </row>
    <row r="115" ht="15" customHeight="1" s="36">
      <c r="A115" s="67" t="inlineStr">
        <is>
          <t>DEC-162</t>
        </is>
      </c>
      <c r="B115" s="68" t="inlineStr">
        <is>
          <t>Decidida</t>
        </is>
      </c>
      <c r="C115" s="68" t="n"/>
      <c r="D115" s="69" t="inlineStr">
        <is>
          <t>La credencial se configura desde la pantalla, pero el ENTORNO manda y en la base va CIFRADA.</t>
        </is>
      </c>
      <c r="E115" s="69" t="inlineStr">
        <is>
          <t>9.2</t>
        </is>
      </c>
      <c r="F115" s="69" t="inlineStr">
        <is>
          <t>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is>
      </c>
    </row>
    <row r="116" ht="15" customHeight="1" s="36">
      <c r="A116" s="67" t="inlineStr">
        <is>
          <t>DEC-161</t>
        </is>
      </c>
      <c r="B116" s="68" t="inlineStr">
        <is>
          <t>Decidida</t>
        </is>
      </c>
      <c r="C116" s="68" t="n"/>
      <c r="D116" s="69" t="inlineStr">
        <is>
          <t>porque() admite alternancia, y eso es lo que faltaba para bajar el trinquete de las 297.</t>
        </is>
      </c>
      <c r="E116" s="69" t="inlineStr">
        <is>
          <t>9.1</t>
        </is>
      </c>
      <c r="F116" s="69" t="inlineStr">
        <is>
          <t>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is>
      </c>
    </row>
    <row r="117" ht="15" customHeight="1" s="36">
      <c r="A117" s="67" t="inlineStr">
        <is>
          <t>DEC-160</t>
        </is>
      </c>
      <c r="B117" s="68" t="inlineStr">
        <is>
          <t>Decidida</t>
        </is>
      </c>
      <c r="C117" s="68" t="n"/>
      <c r="D117" s="69" t="inlineStr">
        <is>
          <t>Un dia sin tasa usa la ultima anterior, y lo que se guarda es la fecha de ESA tasa.</t>
        </is>
      </c>
      <c r="E117" s="69" t="inlineStr">
        <is>
          <t>9.1</t>
        </is>
      </c>
      <c r="F117" s="69" t="inlineStr">
        <is>
          <t>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is>
      </c>
    </row>
    <row r="118" ht="15" customHeight="1" s="36">
      <c r="A118" s="67" t="inlineStr">
        <is>
          <t>DEC-159</t>
        </is>
      </c>
      <c r="B118" s="68" t="inlineStr">
        <is>
          <t>Decidida</t>
        </is>
      </c>
      <c r="C118" s="68" t="n"/>
      <c r="D118" s="69" t="inlineStr">
        <is>
          <t>Compra y venta son dos filas, y cual aplica NO tiene valor por defecto.</t>
        </is>
      </c>
      <c r="E118" s="69" t="inlineStr">
        <is>
          <t>9.1</t>
        </is>
      </c>
      <c r="F118" s="69" t="inlineStr">
        <is>
          <t>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is>
      </c>
    </row>
    <row r="119" ht="15" customHeight="1" s="36">
      <c r="A119" s="67" t="inlineStr">
        <is>
          <t>DEC-158</t>
        </is>
      </c>
      <c r="B119" s="68" t="inlineStr">
        <is>
          <t>Decidida</t>
        </is>
      </c>
      <c r="C119" s="68" t="n"/>
      <c r="D119" s="69" t="inlineStr">
        <is>
          <t>Que fuente publica el tipo de cambio se DECLARA, con periodos, y no se elige al convertir.</t>
        </is>
      </c>
      <c r="E119" s="69" t="inlineStr">
        <is>
          <t>9.1</t>
        </is>
      </c>
      <c r="F119" s="69" t="inlineStr">
        <is>
          <t>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is>
      </c>
    </row>
    <row r="120" ht="15" customHeight="1" s="36">
      <c r="A120" s="67" t="inlineStr">
        <is>
          <t>DEC-157</t>
        </is>
      </c>
      <c r="B120" s="68" t="inlineStr">
        <is>
          <t>Decidida</t>
        </is>
      </c>
      <c r="C120" s="68" t="n"/>
      <c r="D120" s="69" t="inlineStr">
        <is>
          <t>BR-LE-009 se comprueba cuando se escribe el primer pago, no en la iteracion 9.11.</t>
        </is>
      </c>
      <c r="E120" s="69" t="inlineStr">
        <is>
          <t>8.13</t>
        </is>
      </c>
      <c r="F120" s="69" t="inlineStr">
        <is>
          <t>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is>
      </c>
    </row>
    <row r="121" ht="15" customHeight="1" s="36">
      <c r="A121" s="67" t="inlineStr">
        <is>
          <t>DEC-156</t>
        </is>
      </c>
      <c r="B121" s="68" t="inlineStr">
        <is>
          <t>Decidida</t>
        </is>
      </c>
      <c r="C121" s="68" t="n"/>
      <c r="D121" s="69" t="inlineStr">
        <is>
          <t>La campana decide quien paga a cada creador, y el pais del creador no entra en esa decision.</t>
        </is>
      </c>
      <c r="E121" s="69" t="inlineStr">
        <is>
          <t>8.12</t>
        </is>
      </c>
      <c r="F121" s="69" t="inlineStr">
        <is>
          <t>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is>
      </c>
    </row>
    <row r="122" ht="15" customHeight="1" s="36">
      <c r="A122" s="67" t="inlineStr">
        <is>
          <t>DEC-155</t>
        </is>
      </c>
      <c r="B122" s="68" t="inlineStr">
        <is>
          <t>Decidida</t>
        </is>
      </c>
      <c r="C122" s="68" t="n"/>
      <c r="D122" s="69" t="inlineStr">
        <is>
          <t>La sociedad que factura NO se elige: se resuelve, y la pantalla enseña por que.</t>
        </is>
      </c>
      <c r="E122" s="69" t="inlineStr">
        <is>
          <t>8.12</t>
        </is>
      </c>
      <c r="F122" s="69" t="inlineStr">
        <is>
          <t>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is>
      </c>
    </row>
    <row r="123" ht="15" customHeight="1" s="36">
      <c r="A123" s="67" t="inlineStr">
        <is>
          <t>DEC-154</t>
        </is>
      </c>
      <c r="B123" s="68" t="inlineStr">
        <is>
          <t>Decidida</t>
        </is>
      </c>
      <c r="C123" s="68" t="n"/>
      <c r="D123" s="69" t="inlineStr">
        <is>
          <t>Los ayudantes de las suites viven en UN archivo, y nace la SEPTIMA puerta.</t>
        </is>
      </c>
      <c r="E123" s="69" t="inlineStr">
        <is>
          <t>8.11</t>
        </is>
      </c>
      <c r="F123" s="69" t="inlineStr">
        <is>
          <t>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is>
      </c>
    </row>
    <row r="124" ht="15" customHeight="1" s="36">
      <c r="A124" s="67" t="inlineStr">
        <is>
          <t>DEC-153</t>
        </is>
      </c>
      <c r="B124" s="68" t="inlineStr">
        <is>
          <t>Decidida</t>
        </is>
      </c>
      <c r="C124" s="68" t="n"/>
      <c r="D124" s="69" t="inlineStr">
        <is>
          <t>Una peticion de cambios sin rondas queda PENDIENTE de autorizar.</t>
        </is>
      </c>
      <c r="E124" s="69" t="inlineStr">
        <is>
          <t>8.5</t>
        </is>
      </c>
      <c r="F124" s="69" t="inlineStr">
        <is>
          <t>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is>
      </c>
    </row>
    <row r="125" ht="15" customHeight="1" s="36">
      <c r="A125" s="67" t="inlineStr">
        <is>
          <t>DEC-152</t>
        </is>
      </c>
      <c r="B125" s="68" t="inlineStr">
        <is>
          <t>Decidida</t>
        </is>
      </c>
      <c r="C125" s="68" t="n"/>
      <c r="D125" s="69" t="inlineStr">
        <is>
          <t>El silencio del cliente no hace nada, y por eso 8.5 no estrena comando.</t>
        </is>
      </c>
      <c r="E125" s="69" t="inlineStr">
        <is>
          <t>8.5</t>
        </is>
      </c>
      <c r="F125" s="69" t="inlineStr">
        <is>
          <t>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is>
      </c>
    </row>
    <row r="126" ht="15" customHeight="1" s="36">
      <c r="A126" s="67" t="inlineStr">
        <is>
          <t>DEC-151</t>
        </is>
      </c>
      <c r="B126" s="68" t="inlineStr">
        <is>
          <t>Decidida</t>
        </is>
      </c>
      <c r="C126" s="68" t="n"/>
      <c r="D126" s="69" t="inlineStr">
        <is>
          <t>La respuesta del cliente se REGISTRA; el equipo cierra.</t>
        </is>
      </c>
      <c r="E126" s="69" t="inlineStr">
        <is>
          <t>8.5</t>
        </is>
      </c>
      <c r="F126" s="69" t="inlineStr">
        <is>
          <t>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is>
      </c>
    </row>
    <row r="127" ht="15" customHeight="1" s="36">
      <c r="A127" s="67" t="inlineStr">
        <is>
          <t>DEC-150</t>
        </is>
      </c>
      <c r="B127" s="68" t="inlineStr">
        <is>
          <t>Decidida</t>
        </is>
      </c>
      <c r="C127" s="68" t="n"/>
      <c r="D127" s="69" t="inlineStr">
        <is>
          <t>El techo de rondas pasa a la base, y los disparadores siguen siendo GUARDAS.</t>
        </is>
      </c>
      <c r="E127" s="69" t="inlineStr">
        <is>
          <t>8.4</t>
        </is>
      </c>
      <c r="F127" s="69" t="inlineStr">
        <is>
          <t>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is>
      </c>
    </row>
    <row r="128" ht="23.25" customHeight="1" s="36">
      <c r="A128" s="67" t="inlineStr">
        <is>
          <t>DEC-149</t>
        </is>
      </c>
      <c r="B128" s="68" t="inlineStr">
        <is>
          <t>Decidida</t>
        </is>
      </c>
      <c r="C128" s="68" t="n"/>
      <c r="D128" s="69" t="inlineStr">
        <is>
          <t>Se trabaja en main hasta que haya produccion.</t>
        </is>
      </c>
      <c r="E128" s="69" t="inlineStr">
        <is>
          <t>8.8</t>
        </is>
      </c>
      <c r="F128" s="69" t="inlineStr">
        <is>
          <t>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is>
      </c>
    </row>
    <row r="129" ht="15" customHeight="1" s="36">
      <c r="A129" s="67" t="inlineStr">
        <is>
          <t>DEC-148</t>
        </is>
      </c>
      <c r="B129" s="68" t="inlineStr">
        <is>
          <t>Decidida</t>
        </is>
      </c>
      <c r="C129" s="68" t="n"/>
      <c r="D129" s="69" t="inlineStr">
        <is>
          <t>El entregable caido tiene estado propio, y expired pasa a llamarse fulfilled.</t>
        </is>
      </c>
      <c r="E129" s="69" t="inlineStr">
        <is>
          <t>8.8</t>
        </is>
      </c>
      <c r="F129" s="69" t="inlineStr">
        <is>
          <t>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is>
      </c>
    </row>
    <row r="130" ht="15" customHeight="1" s="36">
      <c r="A130" s="67" t="inlineStr">
        <is>
          <t>DEC-147</t>
        </is>
      </c>
      <c r="B130" s="68" t="inlineStr">
        <is>
          <t>Decidida</t>
        </is>
      </c>
      <c r="C130" s="68" t="n"/>
      <c r="D130" s="69" t="inlineStr">
        <is>
          <t>Se avisa al creador y al equipo; al cliente no.</t>
        </is>
      </c>
      <c r="E130" s="69" t="inlineStr">
        <is>
          <t>8.8</t>
        </is>
      </c>
      <c r="F130" s="69" t="inlineStr">
        <is>
          <t>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is>
      </c>
    </row>
    <row r="131" ht="15" customHeight="1" s="36">
      <c r="A131" s="67" t="inlineStr">
        <is>
          <t>DEC-146</t>
        </is>
      </c>
      <c r="B131" s="68" t="inlineStr">
        <is>
          <t>Decidida</t>
        </is>
      </c>
      <c r="C131" s="68" t="n"/>
      <c r="D131" s="69" t="inlineStr">
        <is>
          <t>La sonda marca; una persona confirma.</t>
        </is>
      </c>
      <c r="E131" s="69" t="inlineStr">
        <is>
          <t>8.8</t>
        </is>
      </c>
      <c r="F131" s="69" t="inlineStr">
        <is>
          <t>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is>
      </c>
    </row>
    <row r="132" ht="23.25" customHeight="1" s="36">
      <c r="A132" s="67" t="inlineStr">
        <is>
          <t>DEC-145</t>
        </is>
      </c>
      <c r="B132" s="68" t="inlineStr">
        <is>
          <t>Decidida</t>
        </is>
      </c>
      <c r="C132" s="68" t="n"/>
      <c r="D132" s="69" t="inlineStr">
        <is>
          <t>Retirar el post antes de tiempo BLOQUEA el pago, y el sistema no descuenta nada.</t>
        </is>
      </c>
      <c r="E132" s="69" t="inlineStr">
        <is>
          <t>8.8</t>
        </is>
      </c>
      <c r="F132" s="69" t="inlineStr">
        <is>
          <t>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is>
      </c>
    </row>
    <row r="133" ht="23.25" customHeight="1" s="36">
      <c r="A133" s="67" t="inlineStr">
        <is>
          <t>DEC-144</t>
        </is>
      </c>
      <c r="B133" s="68" t="inlineStr">
        <is>
          <t>Decidida</t>
        </is>
      </c>
      <c r="C133" s="68" t="n"/>
      <c r="D133" s="69" t="inlineStr">
        <is>
          <t>Si el post no esta, el entregable vuelve al CREADOR, no a revision.</t>
        </is>
      </c>
      <c r="E133" s="69" t="inlineStr">
        <is>
          <t>8.7</t>
        </is>
      </c>
      <c r="F133" s="69" t="inlineStr">
        <is>
          <t>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is>
      </c>
    </row>
    <row r="134" ht="23.25" customHeight="1" s="36">
      <c r="A134" s="67" t="inlineStr">
        <is>
          <t>DEC-143</t>
        </is>
      </c>
      <c r="B134" s="68" t="inlineStr">
        <is>
          <t>Decidida</t>
        </is>
      </c>
      <c r="C134" s="68" t="n"/>
      <c r="D134" s="69" t="inlineStr">
        <is>
          <t>Verificar tiene su propio permiso, content.verify.</t>
        </is>
      </c>
      <c r="E134" s="69" t="inlineStr">
        <is>
          <t>8.7</t>
        </is>
      </c>
      <c r="F134" s="69" t="inlineStr">
        <is>
          <t>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is>
      </c>
    </row>
    <row r="135" ht="23.25" customHeight="1" s="36">
      <c r="A135" s="67" t="inlineStr">
        <is>
          <t>DEC-142</t>
        </is>
      </c>
      <c r="B135" s="68" t="inlineStr">
        <is>
          <t>Decidida</t>
        </is>
      </c>
      <c r="C135" s="68" t="n"/>
      <c r="D135" s="69" t="inlineStr">
        <is>
          <t>La evidencia de que un post existe es una CAPTURA, no una comprobacion HTTP.</t>
        </is>
      </c>
      <c r="E135" s="69" t="inlineStr">
        <is>
          <t>8.7</t>
        </is>
      </c>
      <c r="F135" s="69" t="inlineStr">
        <is>
          <t>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is>
      </c>
    </row>
    <row r="136" ht="23.25" customHeight="1" s="36">
      <c r="A136" s="67" t="inlineStr">
        <is>
          <t>DEC-141</t>
        </is>
      </c>
      <c r="B136" s="68" t="inlineStr">
        <is>
          <t>Decidida</t>
        </is>
      </c>
      <c r="C136" s="68" t="n"/>
      <c r="D136" s="69" t="inlineStr">
        <is>
          <t>La red se DEDUCE del enlace, y tiene que ser la del brief.</t>
        </is>
      </c>
      <c r="E136" s="69" t="inlineStr">
        <is>
          <t>8.6</t>
        </is>
      </c>
      <c r="F136" s="69" t="inlineStr">
        <is>
          <t>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is>
      </c>
    </row>
    <row r="137" ht="23.25" customHeight="1" s="36">
      <c r="A137" s="67" t="inlineStr">
        <is>
          <t>DEC-140</t>
        </is>
      </c>
      <c r="B137" s="68" t="inlineStr">
        <is>
          <t>Decidida</t>
        </is>
      </c>
      <c r="C137" s="68" t="n"/>
      <c r="D137" s="69" t="inlineStr">
        <is>
          <t>Solo se publica lo aprobado, y ESA version.</t>
        </is>
      </c>
      <c r="E137" s="69" t="inlineStr">
        <is>
          <t>8.6</t>
        </is>
      </c>
      <c r="F137" s="69" t="inlineStr">
        <is>
          <t>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is>
      </c>
    </row>
    <row r="138" ht="34.5" customHeight="1" s="36">
      <c r="A138" s="67" t="inlineStr">
        <is>
          <t>DEC-139</t>
        </is>
      </c>
      <c r="B138" s="68" t="inlineStr">
        <is>
          <t>Decidida</t>
        </is>
      </c>
      <c r="C138" s="68" t="n"/>
      <c r="D138" s="69" t="inlineStr">
        <is>
          <t>El post lo reporta el CREADOR, y el equipo tambien puede.</t>
        </is>
      </c>
      <c r="E138" s="69" t="inlineStr">
        <is>
          <t>8.6</t>
        </is>
      </c>
      <c r="F138" s="69" t="inlineStr">
        <is>
          <t>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is>
      </c>
    </row>
    <row r="139" ht="23.25" customHeight="1" s="36">
      <c r="A139" s="67" t="inlineStr">
        <is>
          <t>DEC-138</t>
        </is>
      </c>
      <c r="B139" s="68" t="inlineStr">
        <is>
          <t>Decidida</t>
        </is>
      </c>
      <c r="C139" s="68" t="n"/>
      <c r="D139" s="69" t="inlineStr">
        <is>
          <t>Un entregable aprobado se puede REABRIR, con motivo de lista cerrada y firma.</t>
        </is>
      </c>
      <c r="E139" s="69" t="inlineStr">
        <is>
          <t>8.2</t>
        </is>
      </c>
      <c r="F139" s="69" t="inlineStr">
        <is>
          <t>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is>
      </c>
    </row>
    <row r="140" ht="23.25" customHeight="1" s="36">
      <c r="A140" s="67" t="inlineStr">
        <is>
          <t>DEC-137</t>
        </is>
      </c>
      <c r="B140" s="68" t="inlineStr">
        <is>
          <t>Decidida</t>
        </is>
      </c>
      <c r="C140" s="68" t="n"/>
      <c r="D140" s="69" t="inlineStr">
        <is>
          <t>El puntero apunta a la version APROBADA, y su clave ajena es COMPUESTA.</t>
        </is>
      </c>
      <c r="E140" s="69" t="inlineStr">
        <is>
          <t>8.2</t>
        </is>
      </c>
      <c r="F140" s="69" t="inlineStr">
        <is>
          <t>«La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is>
      </c>
    </row>
    <row r="141" ht="34.5" customHeight="1" s="36">
      <c r="A141" s="67" t="inlineStr">
        <is>
          <t>DEC-136</t>
        </is>
      </c>
      <c r="B141" s="68" t="inlineStr">
        <is>
          <t>Decidida</t>
        </is>
      </c>
      <c r="C141" s="68" t="n"/>
      <c r="D141" s="69" t="inlineStr">
        <is>
          <t>Tres permisos y no uno: revisar, aprobar y autorizar una ronda de mas.</t>
        </is>
      </c>
      <c r="E141" s="69" t="inlineStr">
        <is>
          <t>8.3</t>
        </is>
      </c>
      <c r="F141" s="69" t="inlineStr">
        <is>
          <t>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is>
      </c>
    </row>
    <row r="142" ht="23.25" customHeight="1" s="36">
      <c r="A142" s="67" t="inlineStr">
        <is>
          <t>DEC-135</t>
        </is>
      </c>
      <c r="B142" s="68" t="inlineStr">
        <is>
          <t>Decidida</t>
        </is>
      </c>
      <c r="C142" s="68" t="n"/>
      <c r="D142" s="69" t="inlineStr">
        <is>
          <t>Pasarse de las rondas incluidas se BLOQUEA y exige decidir y firmar; y el cargo NO va a campaign_costs.</t>
        </is>
      </c>
      <c r="E142" s="69" t="inlineStr">
        <is>
          <t>8.3</t>
        </is>
      </c>
      <c r="F142" s="69" t="inlineStr">
        <is>
          <t>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is>
      </c>
    </row>
    <row r="143" ht="23.25" customHeight="1" s="36">
      <c r="A143" s="67" t="inlineStr">
        <is>
          <t>DEC-134</t>
        </is>
      </c>
      <c r="B143" s="68" t="inlineStr">
        <is>
          <t>Decidida</t>
        </is>
      </c>
      <c r="C143" s="68" t="n"/>
      <c r="D143" s="69" t="inlineStr">
        <is>
          <t>Hasta 8.5, quien lleva la cuenta marca de parte de quien viene la correccion.</t>
        </is>
      </c>
      <c r="E143" s="69" t="inlineStr">
        <is>
          <t>8.3</t>
        </is>
      </c>
      <c r="F143" s="69" t="inlineStr">
        <is>
          <t>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is>
      </c>
    </row>
    <row r="144" ht="23.25" customHeight="1" s="36">
      <c r="A144" s="67" t="inlineStr">
        <is>
          <t>DEC-133</t>
        </is>
      </c>
      <c r="B144" s="68" t="inlineStr">
        <is>
          <t>Decidida</t>
        </is>
      </c>
      <c r="C144" s="68" t="n"/>
      <c r="D144" s="69" t="inlineStr">
        <is>
          <t>Solo las rondas del CLIENTE cuentan contra el precio, y son POR ENTREGABLE.</t>
        </is>
      </c>
      <c r="E144" s="69" t="inlineStr">
        <is>
          <t>8.3</t>
        </is>
      </c>
      <c r="F144" s="69" t="inlineStr">
        <is>
          <t>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is>
      </c>
    </row>
    <row r="145" ht="23.25" customHeight="1" s="36">
      <c r="A145" s="67" t="inlineStr">
        <is>
          <t>DEC-132</t>
        </is>
      </c>
      <c r="B145" s="68" t="inlineStr">
        <is>
          <t>Decidida</t>
        </is>
      </c>
      <c r="C145" s="68" t="n"/>
      <c r="D145" s="69" t="inlineStr">
        <is>
          <t>Si al caption le faltan las etiquetas del brief, NO SE ENVIA, y se le dice cuales.</t>
        </is>
      </c>
      <c r="E145" s="69" t="inlineStr">
        <is>
          <t>8.1</t>
        </is>
      </c>
      <c r="F145" s="69" t="inlineStr">
        <is>
          <t>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is>
      </c>
    </row>
    <row r="146" ht="23.25" customHeight="1" s="36">
      <c r="A146" s="67" t="inlineStr">
        <is>
          <t>DEC-131</t>
        </is>
      </c>
      <c r="B146" s="68" t="inlineStr">
        <is>
          <t>Decidida</t>
        </is>
      </c>
      <c r="C146" s="68" t="n"/>
      <c r="D146" s="69" t="inlineStr">
        <is>
          <t>Se entrega un ENLACE externo, y opcionalmente una imagen.</t>
        </is>
      </c>
      <c r="E146" s="69" t="inlineStr">
        <is>
          <t>8.1</t>
        </is>
      </c>
      <c r="F146" s="69" t="inlineStr">
        <is>
          <t>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is>
      </c>
    </row>
    <row r="147" ht="23.25" customHeight="1" s="36">
      <c r="A147" s="67" t="inlineStr">
        <is>
          <t>DEC-130</t>
        </is>
      </c>
      <c r="B147" s="68" t="inlineStr">
        <is>
          <t>Decidida</t>
        </is>
      </c>
      <c r="C147" s="68" t="n"/>
      <c r="D147" s="69" t="inlineStr">
        <is>
          <t>El brief que se usa es el EFECTIVO, no el general.</t>
        </is>
      </c>
      <c r="E147" s="69" t="inlineStr">
        <is>
          <t>8.1</t>
        </is>
      </c>
      <c r="F147" s="69" t="inlineStr">
        <is>
          <t>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is>
      </c>
    </row>
    <row r="148" ht="23.25" customHeight="1" s="36">
      <c r="A148" s="67" t="inlineStr">
        <is>
          <t>DEC-129</t>
        </is>
      </c>
      <c r="B148" s="68" t="inlineStr">
        <is>
          <t>Decidida</t>
        </is>
      </c>
      <c r="C148" s="68" t="n"/>
      <c r="D148" s="69" t="inlineStr">
        <is>
          <t>Los entregables se generan SOLOS al aceptar, y la generacion es idempotente.</t>
        </is>
      </c>
      <c r="E148" s="69" t="inlineStr">
        <is>
          <t>8.1</t>
        </is>
      </c>
      <c r="F148" s="69" t="inlineStr">
        <is>
          <t>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is>
      </c>
    </row>
    <row r="149" ht="15" customHeight="1" s="36">
      <c r="A149" s="67" t="inlineStr">
        <is>
          <t>DEC-128</t>
        </is>
      </c>
      <c r="B149" s="68" t="inlineStr">
        <is>
          <t>Decidida</t>
        </is>
      </c>
      <c r="C149" s="68" t="n"/>
      <c r="D149" s="69" t="inlineStr">
        <is>
          <t>En el seguimiento, el dinero SI y el margen solo con su permiso.</t>
        </is>
      </c>
      <c r="E149" s="69" t="inlineStr">
        <is>
          <t>7.7</t>
        </is>
      </c>
      <c r="F149" s="69" t="inlineStr">
        <is>
          <t>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is>
      </c>
    </row>
    <row r="150" ht="68.25" customHeight="1" s="36">
      <c r="A150" s="67" t="inlineStr">
        <is>
          <t>DEC-127</t>
        </is>
      </c>
      <c r="B150" s="68" t="inlineStr">
        <is>
          <t>Decidida</t>
        </is>
      </c>
      <c r="C150" s="68" t="n"/>
      <c r="D150" s="69" t="inlineStr">
        <is>
          <t>Cuatro alertas en el panel de seguimiento, y su orden NO es por gravedad.</t>
        </is>
      </c>
      <c r="E150" s="69" t="inlineStr">
        <is>
          <t>7.7</t>
        </is>
      </c>
      <c r="F150" s="69" t="inlineStr">
        <is>
          <t>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is>
      </c>
    </row>
    <row r="151" ht="23.25" customHeight="1" s="36">
      <c r="A151" s="67" t="inlineStr">
        <is>
          <t>DEC-126</t>
        </is>
      </c>
      <c r="B151" s="68" t="inlineStr">
        <is>
          <t>Decidida</t>
        </is>
      </c>
      <c r="C151" s="68" t="n"/>
      <c r="D151" s="69" t="inlineStr">
        <is>
          <t>usuarios:crear deja de teclear la contrasena; el alta interna usa el mismo enlace de 72 h que la del creador.</t>
        </is>
      </c>
      <c r="E151" s="69" t="inlineStr">
        <is>
          <t>7.6b</t>
        </is>
      </c>
      <c r="F151" s="69" t="inlineStr">
        <is>
          <t>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is>
      </c>
    </row>
    <row r="152" ht="34.5" customHeight="1" s="36">
      <c r="A152" s="67" t="inlineStr">
        <is>
          <t>DEC-125</t>
        </is>
      </c>
      <c r="B152" s="68" t="inlineStr">
        <is>
          <t>Decidida</t>
        </is>
      </c>
      <c r="C152" s="68" t="n"/>
      <c r="D152" s="69" t="inlineStr">
        <is>
          <t>Cuando un creador contesta, se avisa a QUIEN LE INVITO y a nadie mas.</t>
        </is>
      </c>
      <c r="E152" s="69" t="inlineStr">
        <is>
          <t>7.6b</t>
        </is>
      </c>
      <c r="F152" s="69" t="inlineStr">
        <is>
          <t>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is>
      </c>
    </row>
    <row r="153" ht="23.25" customHeight="1" s="36">
      <c r="A153" s="67" t="inlineStr">
        <is>
          <t>DEC-124</t>
        </is>
      </c>
      <c r="B153" s="68" t="inlineStr">
        <is>
          <t>Decidida</t>
        </is>
      </c>
      <c r="C153" s="68" t="n"/>
      <c r="D153" s="69" t="inlineStr">
        <is>
          <t>Preguntar NO mueve el plazo de la invitacion.</t>
        </is>
      </c>
      <c r="E153" s="69" t="inlineStr">
        <is>
          <t>7.6b</t>
        </is>
      </c>
      <c r="F153" s="69" t="inlineStr">
        <is>
          <t>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is>
      </c>
    </row>
    <row r="154" ht="23.25" customHeight="1" s="36">
      <c r="A154" s="67" t="inlineStr">
        <is>
          <t>DEC-123</t>
        </is>
      </c>
      <c r="B154" s="68" t="inlineStr">
        <is>
          <t>Decidida</t>
        </is>
      </c>
      <c r="C154" s="68" t="n"/>
      <c r="D154" s="69" t="inlineStr">
        <is>
          <t>Pedir un correo se hace desde Shared, no desde el modulo que lo necesita.</t>
        </is>
      </c>
      <c r="E154" s="69" t="inlineStr">
        <is>
          <t>7.6</t>
        </is>
      </c>
      <c r="F154" s="69" t="inlineStr">
        <is>
          <t>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is>
      </c>
    </row>
    <row r="155" ht="23.25" customHeight="1" s="36">
      <c r="A155" s="67" t="inlineStr">
        <is>
          <t>DEC-122</t>
        </is>
      </c>
      <c r="B155" s="68" t="inlineStr">
        <is>
          <t>Decidida</t>
        </is>
      </c>
      <c r="C155" s="68" t="n"/>
      <c r="D155" s="69" t="inlineStr">
        <is>
          <t>La invitacion COPIA el importe con el que salio, y el importe no se mueve mientras este viva.</t>
        </is>
      </c>
      <c r="E155" s="69" t="inlineStr">
        <is>
          <t>7.6</t>
        </is>
      </c>
      <c r="F155" s="69" t="inlineStr">
        <is>
          <t>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is>
      </c>
    </row>
    <row r="156" ht="23.25" customHeight="1" s="36">
      <c r="A156" s="67" t="inlineStr">
        <is>
          <t>DEC-121</t>
        </is>
      </c>
      <c r="B156" s="68" t="inlineStr">
        <is>
          <t>Decidida</t>
        </is>
      </c>
      <c r="C156" s="68" t="n"/>
      <c r="D156" s="69" t="inlineStr">
        <is>
          <t>Rechazar no cierra la campana para ese creador, y quedan las DOS rondas.</t>
        </is>
      </c>
      <c r="E156" s="69" t="inlineStr">
        <is>
          <t>7.6</t>
        </is>
      </c>
      <c r="F156" s="69" t="inlineStr">
        <is>
          <t>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is>
      </c>
    </row>
    <row r="157" ht="23.25" customHeight="1" s="36">
      <c r="A157" s="67" t="inlineStr">
        <is>
          <t>DEC-120</t>
        </is>
      </c>
      <c r="B157" s="68" t="inlineStr">
        <is>
          <t>Decidida</t>
        </is>
      </c>
      <c r="C157" s="68" t="n"/>
      <c r="D157" s="69" t="inlineStr">
        <is>
          <t>El plazo para contestar vive en la CAMPANA, no en cada invitacion.</t>
        </is>
      </c>
      <c r="E157" s="69" t="inlineStr">
        <is>
          <t>7.6</t>
        </is>
      </c>
      <c r="F157" s="69" t="inlineStr">
        <is>
          <t>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is>
      </c>
    </row>
    <row r="158" ht="57" customHeight="1" s="36">
      <c r="A158" s="67" t="inlineStr">
        <is>
          <t>DEC-119</t>
        </is>
      </c>
      <c r="B158" s="68" t="inlineStr">
        <is>
          <t>Decidida</t>
        </is>
      </c>
      <c r="C158" s="68" t="n"/>
      <c r="D158" s="69" t="inlineStr">
        <is>
          <t>El creador contesta la invitacion EL MISMO, por enlace.</t>
        </is>
      </c>
      <c r="E158" s="69" t="inlineStr">
        <is>
          <t>7.6</t>
        </is>
      </c>
      <c r="F158" s="69" t="inlineStr">
        <is>
          <t>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is>
      </c>
    </row>
    <row r="159" ht="23.25" customHeight="1" s="36">
      <c r="A159" s="67" t="inlineStr">
        <is>
          <t>DEC-118</t>
        </is>
      </c>
      <c r="B159" s="68" t="inlineStr">
        <is>
          <t>Decidida</t>
        </is>
      </c>
      <c r="C159" s="68" t="n"/>
      <c r="D159" s="69" t="inlineStr">
        <is>
          <t>La portada se bifurca por TIPO DE USUARIO, y SESSION_DRIVER=database pasa a ser requisito de seguridad.</t>
        </is>
      </c>
      <c r="E159" s="69" t="inlineStr">
        <is>
          <t>5.9 + 4.1</t>
        </is>
      </c>
      <c r="F159" s="69" t="inlineStr">
        <is>
          <t>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is>
      </c>
    </row>
    <row r="160" ht="34.5" customHeight="1" s="36">
      <c r="A160" s="67" t="inlineStr">
        <is>
          <t>DEC-117</t>
        </is>
      </c>
      <c r="B160" s="68" t="inlineStr">
        <is>
          <t>Decidida</t>
        </is>
      </c>
      <c r="C160" s="68" t="n"/>
      <c r="D160" s="69" t="inlineStr">
        <is>
          <t>El token no se queda en la barra de direcciones.</t>
        </is>
      </c>
      <c r="E160" s="69" t="inlineStr">
        <is>
          <t>5.9 + 4.1</t>
        </is>
      </c>
      <c r="F160" s="69" t="inlineStr">
        <is>
          <t>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is>
      </c>
    </row>
    <row r="161" ht="34.5" customHeight="1" s="36">
      <c r="A161" s="67" t="inlineStr">
        <is>
          <t>DEC-116</t>
        </is>
      </c>
      <c r="B161" s="68" t="inlineStr">
        <is>
          <t>Decidida</t>
        </is>
      </c>
      <c r="C161" s="68" t="n"/>
      <c r="D161" s="69" t="inlineStr">
        <is>
          <t>Un enlace nuevo invalida el anterior, y usar uno mata todos los demas.</t>
        </is>
      </c>
      <c r="E161" s="69" t="inlineStr">
        <is>
          <t>5.9 + 4.1</t>
        </is>
      </c>
      <c r="F161" s="69" t="inlineStr">
        <is>
          <t>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is>
      </c>
    </row>
    <row r="162" ht="45.75" customHeight="1" s="36">
      <c r="A162" s="67" t="inlineStr">
        <is>
          <t>DEC-115</t>
        </is>
      </c>
      <c r="B162" s="68" t="inlineStr">
        <is>
          <t>Decidida</t>
        </is>
      </c>
      <c r="C162" s="68" t="n"/>
      <c r="D162" s="69" t="inlineStr">
        <is>
          <t>Pedir recuperacion contesta lo mismo exista o no el correo.</t>
        </is>
      </c>
      <c r="E162" s="69" t="inlineStr">
        <is>
          <t>4.1</t>
        </is>
      </c>
      <c r="F162" s="69" t="inlineStr">
        <is>
          <t>«Si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is>
      </c>
    </row>
    <row r="163" ht="34.5" customHeight="1" s="36">
      <c r="A163" s="67" t="inlineStr">
        <is>
          <t>DEC-114</t>
        </is>
      </c>
      <c r="B163" s="68" t="inlineStr">
        <is>
          <t>Decidida</t>
        </is>
      </c>
      <c r="C163" s="68" t="n"/>
      <c r="D163" s="69" t="inlineStr">
        <is>
          <t>De un token de contrasena se guarda la HUELLA, nunca el token.</t>
        </is>
      </c>
      <c r="E163" s="69" t="inlineStr">
        <is>
          <t>5.9 + 4.1</t>
        </is>
      </c>
      <c r="F163" s="69" t="inlineStr">
        <is>
          <t>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is>
      </c>
    </row>
    <row r="164" ht="23.25" customHeight="1" s="36">
      <c r="A164" s="67" t="inlineStr">
        <is>
          <t>DEC-113</t>
        </is>
      </c>
      <c r="B164" s="68" t="inlineStr">
        <is>
          <t>Decidida</t>
        </is>
      </c>
      <c r="C164" s="68" t="n"/>
      <c r="D164" s="69" t="inlineStr">
        <is>
          <t>El enlace de alta dura 72 h; el de recuperacion, 1 h.</t>
        </is>
      </c>
      <c r="E164" s="69" t="inlineStr">
        <is>
          <t>5.9 + 4.1</t>
        </is>
      </c>
      <c r="F164" s="69" t="inlineStr">
        <is>
          <t>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is>
      </c>
    </row>
    <row r="165" ht="23.25" customHeight="1" s="36">
      <c r="A165" s="67" t="inlineStr">
        <is>
          <t>DEC-112</t>
        </is>
      </c>
      <c r="B165" s="68" t="inlineStr">
        <is>
          <t>Decidida</t>
        </is>
      </c>
      <c r="C165" s="68" t="n"/>
      <c r="D165" s="69" t="inlineStr">
        <is>
          <t>Los modulos se comunican por EVENTOS, no llamandose.</t>
        </is>
      </c>
      <c r="E165" s="69" t="inlineStr">
        <is>
          <t>4.13</t>
        </is>
      </c>
      <c r="F165" s="69" t="inlineStr">
        <is>
          <t>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is>
      </c>
    </row>
    <row r="166" ht="23.25" customHeight="1" s="36">
      <c r="A166" s="67" t="inlineStr">
        <is>
          <t>DEC-111</t>
        </is>
      </c>
      <c r="B166" s="68" t="inlineStr">
        <is>
          <t>Decidida</t>
        </is>
      </c>
      <c r="C166" s="68" t="n"/>
      <c r="D166" s="69" t="inlineStr">
        <is>
          <t>Si el aviso no se puede enviar, el cambio sigue adelante.</t>
        </is>
      </c>
      <c r="E166" s="69" t="inlineStr">
        <is>
          <t>4.13</t>
        </is>
      </c>
      <c r="F166" s="69" t="inlineStr">
        <is>
          <t>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is>
      </c>
    </row>
    <row r="167" ht="34.5" customHeight="1" s="36">
      <c r="A167" s="67" t="inlineStr">
        <is>
          <t>DEC-110</t>
        </is>
      </c>
      <c r="B167" s="68" t="inlineStr">
        <is>
          <t>Decidida</t>
        </is>
      </c>
      <c r="C167" s="68" t="n"/>
      <c r="D167" s="69" t="inlineStr">
        <is>
          <t>El correo de aviso NO lleva el dato dentro.</t>
        </is>
      </c>
      <c r="E167" s="69" t="inlineStr">
        <is>
          <t>4.13</t>
        </is>
      </c>
      <c r="F167" s="69" t="inlineStr">
        <is>
          <t>«Alguien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is>
      </c>
    </row>
    <row r="168" ht="23.25" customHeight="1" s="36">
      <c r="A168" s="67" t="inlineStr">
        <is>
          <t>DEC-109</t>
        </is>
      </c>
      <c r="B168" s="68" t="inlineStr">
        <is>
          <t>Decidida</t>
        </is>
      </c>
      <c r="C168" s="68" t="n"/>
      <c r="D168" s="69" t="inlineStr">
        <is>
          <t>El aviso de cambio sensible sale al CAPTURAR, no al aprobar.</t>
        </is>
      </c>
      <c r="E168" s="69" t="inlineStr">
        <is>
          <t>4.13</t>
        </is>
      </c>
      <c r="F168" s="69" t="inlineStr">
        <is>
          <t>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is>
      </c>
    </row>
    <row r="169" ht="45.75" customHeight="1" s="36">
      <c r="A169" s="67" t="inlineStr">
        <is>
          <t>DEC-108</t>
        </is>
      </c>
      <c r="B169" s="68" t="inlineStr">
        <is>
          <t>Decidida</t>
        </is>
      </c>
      <c r="C169" s="68" t="n"/>
      <c r="D169" s="69" t="inlineStr">
        <is>
          <t>Tres intentos espaciados (1, 5 y 15 minutos) y luego failed VISIBLE.</t>
        </is>
      </c>
      <c r="E169" s="69" t="inlineStr">
        <is>
          <t>4.9</t>
        </is>
      </c>
      <c r="F169" s="69" t="inlineStr">
        <is>
          <t>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is>
      </c>
    </row>
    <row r="170" ht="45.75" customHeight="1" s="36">
      <c r="A170" s="67" t="inlineStr">
        <is>
          <t>DEC-107</t>
        </is>
      </c>
      <c r="B170" s="68" t="inlineStr">
        <is>
          <t>Decidida</t>
        </is>
      </c>
      <c r="C170" s="68" t="n"/>
      <c r="D170" s="69" t="inlineStr">
        <is>
          <t>Sin plantilla en el idioma del destinatario se cae al de por defecto, y se ANOTA.</t>
        </is>
      </c>
      <c r="E170" s="69" t="inlineStr">
        <is>
          <t>4.9</t>
        </is>
      </c>
      <c r="F170" s="69" t="inlineStr">
        <is>
          <t>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is>
      </c>
    </row>
    <row r="171" ht="23.25" customHeight="1" s="36">
      <c r="A171" s="67" t="inlineStr">
        <is>
          <t>DEC-106</t>
        </is>
      </c>
      <c r="B171" s="68" t="inlineStr">
        <is>
          <t>Decidida</t>
        </is>
      </c>
      <c r="C171" s="68" t="n"/>
      <c r="D171" s="69" t="inlineStr">
        <is>
          <t>Del correo enviado se guarda la HUELLA del cuerpo, no el cuerpo.</t>
        </is>
      </c>
      <c r="E171" s="69" t="inlineStr">
        <is>
          <t>4.9</t>
        </is>
      </c>
      <c r="F171" s="69" t="inlineStr">
        <is>
          <t>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is>
      </c>
    </row>
    <row r="172" ht="34.5" customHeight="1" s="36">
      <c r="A172" s="67" t="inlineStr">
        <is>
          <t>DEC-105</t>
        </is>
      </c>
      <c r="B172" s="68" t="inlineStr">
        <is>
          <t>Decidida</t>
        </is>
      </c>
      <c r="C172" s="68" t="n"/>
      <c r="D172" s="69" t="inlineStr">
        <is>
          <t>Pasarse del presupuesto de creadores se BLOQUEA, y finanzas lo autoriza dejando el motivo.</t>
        </is>
      </c>
      <c r="E172" s="69" t="inlineStr">
        <is>
          <t>7.5</t>
        </is>
      </c>
      <c r="F172" s="69" t="inlineStr">
        <is>
          <t>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is>
      </c>
    </row>
    <row r="173" ht="34.5" customHeight="1" s="36">
      <c r="A173" s="67" t="inlineStr">
        <is>
          <t>DEC-104</t>
        </is>
      </c>
      <c r="B173" s="68" t="inlineStr">
        <is>
          <t>Decidida</t>
        </is>
      </c>
      <c r="C173" s="68" t="n"/>
      <c r="D173" s="69" t="inlineStr">
        <is>
          <t>El monto acordado se fija al INVITAR y se congela al ACEPTAR.</t>
        </is>
      </c>
      <c r="E173" s="69" t="inlineStr">
        <is>
          <t>7.5</t>
        </is>
      </c>
      <c r="F173" s="69" t="inlineStr">
        <is>
          <t>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is>
      </c>
    </row>
    <row r="174" ht="45.75" customHeight="1" s="36">
      <c r="A174" s="67" t="inlineStr">
        <is>
          <t>DEC-103</t>
        </is>
      </c>
      <c r="B174" s="68" t="inlineStr">
        <is>
          <t>Decidida</t>
        </is>
      </c>
      <c r="C174" s="68" t="n"/>
      <c r="D174" s="69" t="inlineStr">
        <is>
          <t>«2 reels» en el brief es lo que entrega CADA creador, no el total de la campana.</t>
        </is>
      </c>
      <c r="E174" s="69" t="inlineStr">
        <is>
          <t>7.5</t>
        </is>
      </c>
      <c r="F174" s="69" t="inlineStr">
        <is>
          <t>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is>
      </c>
    </row>
    <row r="175" ht="34.5" customHeight="1" s="36">
      <c r="A175" s="67" t="inlineStr">
        <is>
          <t>DEC-102</t>
        </is>
      </c>
      <c r="B175" s="68" t="inlineStr">
        <is>
          <t>Decidida</t>
        </is>
      </c>
      <c r="C175" s="68" t="n"/>
      <c r="D175" s="69" t="inlineStr">
        <is>
          <t>Nadie entra en una campana cerrada, y una participacion que ya estaba solo se puede cancelar.</t>
        </is>
      </c>
      <c r="E175" s="69" t="inlineStr">
        <is>
          <t>7.4</t>
        </is>
      </c>
      <c r="F175" s="69" t="inlineStr">
        <is>
          <t>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is>
      </c>
    </row>
    <row r="176" ht="45.75" customHeight="1" s="36">
      <c r="A176" s="67" t="inlineStr">
        <is>
          <t>DEC-101</t>
        </is>
      </c>
      <c r="B176" s="68" t="inlineStr">
        <is>
          <t>Decidida</t>
        </is>
      </c>
      <c r="C176" s="68" t="n"/>
      <c r="D176" s="69" t="inlineStr">
        <is>
          <t>En la lista corta se entra a un mercado CONCRETO, derivado del pais del creador.</t>
        </is>
      </c>
      <c r="E176" s="69" t="inlineStr">
        <is>
          <t>7.4</t>
        </is>
      </c>
      <c r="F176" s="69" t="inlineStr">
        <is>
          <t>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is>
      </c>
    </row>
    <row r="177" ht="34.5" customHeight="1" s="36">
      <c r="A177" s="67" t="inlineStr">
        <is>
          <t>DEC-100</t>
        </is>
      </c>
      <c r="B177" s="68" t="inlineStr">
        <is>
          <t>Decidida</t>
        </is>
      </c>
      <c r="C177" s="68" t="n"/>
      <c r="D177" s="69" t="inlineStr">
        <is>
          <t>Una categoria que el creador declaro que NO trabaja lo excluye del buscador.</t>
        </is>
      </c>
      <c r="E177" s="69" t="inlineStr">
        <is>
          <t>7.4</t>
        </is>
      </c>
      <c r="F177" s="69" t="inlineStr">
        <is>
          <t>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is>
      </c>
    </row>
    <row r="178" ht="34.5" customHeight="1" s="36">
      <c r="A178" s="67" t="inlineStr">
        <is>
          <t>DEC-099</t>
        </is>
      </c>
      <c r="B178" s="68" t="inlineStr">
        <is>
          <t>Decidida</t>
        </is>
      </c>
      <c r="C178" s="68" t="n"/>
      <c r="D178" s="69" t="inlineStr">
        <is>
          <t>El buscador ensena a todos los activos; el veto real salta al anadir.</t>
        </is>
      </c>
      <c r="E178" s="69" t="inlineStr">
        <is>
          <t>7.4</t>
        </is>
      </c>
      <c r="F178" s="69" t="inlineStr">
        <is>
          <t>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is>
      </c>
    </row>
    <row r="179" ht="23.25" customHeight="1" s="36">
      <c r="A179" s="67" t="inlineStr">
        <is>
          <t>DEC-098</t>
        </is>
      </c>
      <c r="B179" s="68" t="inlineStr">
        <is>
          <t>Decidida</t>
        </is>
      </c>
      <c r="C179" s="68" t="n"/>
      <c r="D179" s="69" t="inlineStr">
        <is>
          <t>Que el mercado sea DE la campana lo garantiza el esquema, con foraneas COMPUESTAS.</t>
        </is>
      </c>
      <c r="E179" s="69" t="inlineStr">
        <is>
          <t>7.3</t>
        </is>
      </c>
      <c r="F179" s="69" t="inlineStr">
        <is>
          <t>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is>
      </c>
    </row>
    <row r="180" ht="34.5" customHeight="1" s="36">
      <c r="A180" s="67" t="inlineStr">
        <is>
          <t>DEC-097</t>
        </is>
      </c>
      <c r="B180" s="68" t="inlineStr">
        <is>
          <t>Decidida</t>
        </is>
      </c>
      <c r="C180" s="68" t="n"/>
      <c r="D180" s="69" t="inlineStr">
        <is>
          <t>El pais de un mercado no necesita cobertura de facturacion.</t>
        </is>
      </c>
      <c r="E180" s="69" t="inlineStr">
        <is>
          <t>7.3</t>
        </is>
      </c>
      <c r="F180" s="69" t="inlineStr">
        <is>
          <t>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is>
      </c>
    </row>
    <row r="181" ht="90.75" customHeight="1" s="36">
      <c r="A181" s="67" t="inlineStr">
        <is>
          <t>DEC-096</t>
        </is>
      </c>
      <c r="B181" s="68" t="inlineStr">
        <is>
          <t>Decidida</t>
        </is>
      </c>
      <c r="C181" s="68" t="n"/>
      <c r="D181" s="69" t="inlineStr">
        <is>
          <t>De una campana confirmada se ANADE un mercado, no se quita.</t>
        </is>
      </c>
      <c r="E181" s="69" t="inlineStr">
        <is>
          <t>7.3</t>
        </is>
      </c>
      <c r="F181" s="69" t="inlineStr">
        <is>
          <t>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is>
      </c>
    </row>
    <row r="182" ht="34.5" customHeight="1" s="36">
      <c r="A182" s="67" t="inlineStr">
        <is>
          <t>DEC-095</t>
        </is>
      </c>
      <c r="B182" s="68" t="inlineStr">
        <is>
          <t>Decidida</t>
        </is>
      </c>
      <c r="C182" s="68" t="n"/>
      <c r="D182" s="69" t="inlineStr">
        <is>
          <t>Una campana necesita al menos un mercado para salir de borrador.</t>
        </is>
      </c>
      <c r="E182" s="69" t="inlineStr">
        <is>
          <t>7.3</t>
        </is>
      </c>
      <c r="F182" s="69" t="inlineStr">
        <is>
          <t>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is>
      </c>
    </row>
    <row r="183" ht="23.25" customHeight="1" s="36">
      <c r="A183" s="67" t="inlineStr">
        <is>
          <t>DEC-094</t>
        </is>
      </c>
      <c r="B183" s="68" t="inlineStr">
        <is>
          <t>Decidida</t>
        </is>
      </c>
      <c r="C183" s="68" t="n"/>
      <c r="D183" s="69" t="inlineStr">
        <is>
          <t>La regla se recorta a los estados NO iniciales, como sus dos hermanas.</t>
        </is>
      </c>
      <c r="E183" s="69" t="inlineStr">
        <is>
          <t>7.2</t>
        </is>
      </c>
      <c r="F183" s="69" t="inlineStr">
        <is>
          <t>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is>
      </c>
    </row>
    <row r="184" ht="34.5" customHeight="1" s="36">
      <c r="A184" s="67" t="inlineStr">
        <is>
          <t>DEC-093</t>
        </is>
      </c>
      <c r="B184" s="68" t="inlineStr">
        <is>
          <t>Decidida</t>
        </is>
      </c>
      <c r="C184" s="68" t="n"/>
      <c r="D184" s="69" t="inlineStr">
        <is>
          <t>Ingreso cero es valido, pero hay que declararlo.</t>
        </is>
      </c>
      <c r="E184" s="69" t="inlineStr">
        <is>
          <t>7.2</t>
        </is>
      </c>
      <c r="F184" s="69" t="inlineStr">
        <is>
          <t>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is>
      </c>
    </row>
    <row r="185" ht="34.5" customHeight="1" s="36">
      <c r="A185" s="67" t="inlineStr">
        <is>
          <t>DEC-092</t>
        </is>
      </c>
      <c r="B185" s="68" t="inlineStr">
        <is>
          <t>Decidida</t>
        </is>
      </c>
      <c r="C185" s="68" t="n"/>
      <c r="D185" s="69" t="inlineStr">
        <is>
          <t>«Brief definido» son los REQUISITOS, no el texto del briefing.</t>
        </is>
      </c>
      <c r="E185" s="69" t="inlineStr">
        <is>
          <t>7.2</t>
        </is>
      </c>
      <c r="F185" s="69" t="inlineStr">
        <is>
          <t>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is>
      </c>
    </row>
    <row r="186" ht="34.5" customHeight="1" s="36">
      <c r="A186" s="67" t="inlineStr">
        <is>
          <t>DEC-091</t>
        </is>
      </c>
      <c r="B186" s="68" t="inlineStr">
        <is>
          <t>Decidida</t>
        </is>
      </c>
      <c r="C186" s="68" t="n"/>
      <c r="D186" s="69" t="inlineStr">
        <is>
          <t>Aprobar una campana es de finanzas, no de quien la monta.</t>
        </is>
      </c>
      <c r="E186" s="69" t="inlineStr">
        <is>
          <t>7.1</t>
        </is>
      </c>
      <c r="F186" s="69" t="inlineStr">
        <is>
          <t>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is>
      </c>
    </row>
    <row r="187" ht="34.5" customHeight="1" s="36">
      <c r="A187" s="67" t="inlineStr">
        <is>
          <t>DEC-090</t>
        </is>
      </c>
      <c r="B187" s="68" t="inlineStr">
        <is>
          <t>Decidida</t>
        </is>
      </c>
      <c r="C187" s="68" t="n"/>
      <c r="D187" s="69" t="inlineStr">
        <is>
          <t>Se congela al confirmar, no al salir de borrador.</t>
        </is>
      </c>
      <c r="E187" s="69" t="inlineStr">
        <is>
          <t>7.1</t>
        </is>
      </c>
      <c r="F187" s="69" t="inlineStr">
        <is>
          <t>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is>
      </c>
    </row>
    <row r="188" ht="34.5" customHeight="1" s="36">
      <c r="A188" s="67" t="inlineStr">
        <is>
          <t>DEC-089</t>
        </is>
      </c>
      <c r="B188" s="68" t="inlineStr">
        <is>
          <t>Decidida</t>
        </is>
      </c>
      <c r="C188" s="68" t="n"/>
      <c r="D188" s="69" t="inlineStr">
        <is>
          <t>La sociedad que factura una campana se resuelve a starts_on.</t>
        </is>
      </c>
      <c r="E188" s="69" t="inlineStr">
        <is>
          <t>7.1</t>
        </is>
      </c>
      <c r="F188" s="69" t="inlineStr">
        <is>
          <t>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is>
      </c>
    </row>
    <row r="189" ht="34.5" customHeight="1" s="36">
      <c r="A189" s="67" t="inlineStr">
        <is>
          <t>DEC-088</t>
        </is>
      </c>
      <c r="B189" s="68" t="inlineStr">
        <is>
          <t>Decidida</t>
        </is>
      </c>
      <c r="C189" s="68" t="n"/>
      <c r="D189" s="69" t="inlineStr">
        <is>
          <t>La aritmetica de vigencias vive en Vigencia, y una puerta lo comprueba.</t>
        </is>
      </c>
      <c r="E189" s="69" t="inlineStr">
        <is>
          <t>4.7</t>
        </is>
      </c>
      <c r="F189" s="69" t="inlineStr">
        <is>
          <t>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is>
      </c>
    </row>
    <row r="190" ht="23.25" customHeight="1" s="36">
      <c r="A190" s="67" t="inlineStr">
        <is>
          <t>DEC-087</t>
        </is>
      </c>
      <c r="B190" s="68" t="inlineStr">
        <is>
          <t>Decidida</t>
        </is>
      </c>
      <c r="C190" s="68" t="n"/>
      <c r="D190" s="69" t="inlineStr">
        <is>
          <t>Un 1062 se absorbe o se cuenta segun quien eligio el valor, y hay que NOMBRAR el indice para absorberlo.</t>
        </is>
      </c>
      <c r="E190" s="69" t="inlineStr">
        <is>
          <t>4.6</t>
        </is>
      </c>
      <c r="F190" s="69" t="inlineStr">
        <is>
          <t>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is>
      </c>
    </row>
    <row r="191" ht="23.25" customHeight="1" s="36">
      <c r="A191" s="67" t="inlineStr">
        <is>
          <t>DEC-086</t>
        </is>
      </c>
      <c r="B191" s="68" t="inlineStr">
        <is>
          <t>Decidida</t>
        </is>
      </c>
      <c r="C191" s="68" t="n"/>
      <c r="D191" s="69" t="inlineStr">
        <is>
          <t>La contraseña temporal deja de ser válida en el primer acceso</t>
        </is>
      </c>
      <c r="E191" s="69" t="n"/>
      <c r="F191" s="69" t="n"/>
    </row>
    <row r="192" ht="45.75" customHeight="1" s="36">
      <c r="A192" s="67" t="inlineStr">
        <is>
          <t>DEC-085</t>
        </is>
      </c>
      <c r="B192" s="68" t="inlineStr">
        <is>
          <t>Decidida</t>
        </is>
      </c>
      <c r="C192" s="68" t="n"/>
      <c r="D192" s="69" t="inlineStr">
        <is>
          <t>La bitácora la protegen dos usuarios de base de datos, no el esquema</t>
        </is>
      </c>
      <c r="E192" s="69" t="n"/>
      <c r="F192" s="69" t="n"/>
    </row>
    <row r="193" ht="34.5" customHeight="1" s="36">
      <c r="A193" s="67" t="inlineStr">
        <is>
          <t>DEC-084</t>
        </is>
      </c>
      <c r="B193" s="68" t="inlineStr">
        <is>
          <t>Decidida</t>
        </is>
      </c>
      <c r="C193" s="68" t="n"/>
      <c r="D193" s="69" t="inlineStr">
        <is>
          <t>«Perfil fiscal vigente» exige que ya haya empezado</t>
        </is>
      </c>
      <c r="E193" s="69" t="n"/>
      <c r="F193" s="69" t="n"/>
    </row>
    <row r="194" ht="34.5" customHeight="1" s="36">
      <c r="A194" s="67" t="inlineStr">
        <is>
          <t>DEC-083</t>
        </is>
      </c>
      <c r="B194" s="68" t="inlineStr">
        <is>
          <t>Decidida</t>
        </is>
      </c>
      <c r="C194" s="68" t="n"/>
      <c r="D194" s="69" t="inlineStr">
        <is>
          <t>«Cuenta compartida» se calcula al leer, no se guarda</t>
        </is>
      </c>
      <c r="E194" s="69" t="n"/>
      <c r="F194" s="69" t="n"/>
    </row>
    <row r="195" ht="23.25" customHeight="1" s="36">
      <c r="A195" s="67" t="inlineStr">
        <is>
          <t>DEC-082</t>
        </is>
      </c>
      <c r="B195" s="68" t="inlineStr">
        <is>
          <t>Decidida</t>
        </is>
      </c>
      <c r="C195" s="68" t="n"/>
      <c r="D195" s="69" t="inlineStr">
        <is>
          <t>Las sociedades del grupo las gestiona sólo admin</t>
        </is>
      </c>
      <c r="E195" s="69" t="n"/>
      <c r="F195" s="69" t="n"/>
    </row>
    <row r="196" ht="57" customHeight="1" s="36">
      <c r="A196" s="67" t="inlineStr">
        <is>
          <t>DEC-081</t>
        </is>
      </c>
      <c r="B196" s="68" t="inlineStr">
        <is>
          <t>Decidida</t>
        </is>
      </c>
      <c r="C196" s="68" t="n"/>
      <c r="D196" s="69" t="inlineStr">
        <is>
          <t>Dar de baja una sociedad cierra sus coberturas abiertas</t>
        </is>
      </c>
      <c r="E196" s="69" t="n"/>
      <c r="F196" s="69" t="n"/>
    </row>
    <row r="197" ht="23.25" customHeight="1" s="36">
      <c r="A197" s="67" t="inlineStr">
        <is>
          <t>DEC-080</t>
        </is>
      </c>
      <c r="B197" s="68" t="inlineStr">
        <is>
          <t>Decidida</t>
        </is>
      </c>
      <c r="C197" s="68" t="n"/>
      <c r="D197" s="69" t="inlineStr">
        <is>
          <t>Un gate que comprueba que los nombres entre capas existen</t>
        </is>
      </c>
      <c r="E197" s="69" t="n"/>
      <c r="F197" s="69" t="n"/>
    </row>
    <row r="198" ht="23.25" customHeight="1" s="36">
      <c r="A198" s="67" t="inlineStr">
        <is>
          <t>DEC-079</t>
        </is>
      </c>
      <c r="B198" s="68" t="inlineStr">
        <is>
          <t>Decidida</t>
        </is>
      </c>
      <c r="C198" s="68" t="n"/>
      <c r="D198" s="69" t="inlineStr">
        <is>
          <t>La identidad fiscal del cliente tiene permiso propio, en dos roles</t>
        </is>
      </c>
      <c r="E198" s="69" t="n"/>
      <c r="F198" s="69" t="n"/>
    </row>
    <row r="199" ht="23.25" customHeight="1" s="36">
      <c r="A199" s="67" t="inlineStr">
        <is>
          <t>DEC-078</t>
        </is>
      </c>
      <c r="B199" s="68" t="inlineStr">
        <is>
          <t>Decidida</t>
        </is>
      </c>
      <c r="C199" s="68" t="n"/>
      <c r="D199" s="69" t="inlineStr">
        <is>
          <t>El histórico fiscal del cliente está congelado</t>
        </is>
      </c>
      <c r="E199" s="69" t="n"/>
      <c r="F199" s="69" t="n"/>
    </row>
    <row r="200" ht="45.75" customHeight="1" s="36">
      <c r="A200" s="67" t="inlineStr">
        <is>
          <t>DEC-077</t>
        </is>
      </c>
      <c r="B200" s="68" t="inlineStr">
        <is>
          <t>Decidida</t>
        </is>
      </c>
      <c r="C200" s="68" t="n"/>
      <c r="D200" s="69" t="inlineStr">
        <is>
          <t>Un contacto no cambia de cliente</t>
        </is>
      </c>
      <c r="E200" s="69" t="n"/>
      <c r="F200" s="69" t="n"/>
    </row>
    <row r="201" ht="34.5" customHeight="1" s="36">
      <c r="A201" s="67" t="inlineStr">
        <is>
          <t>DEC-076</t>
        </is>
      </c>
      <c r="B201" s="68" t="inlineStr">
        <is>
          <t>Decidida</t>
        </is>
      </c>
      <c r="C201" s="68" t="n"/>
      <c r="D201" s="69" t="inlineStr">
        <is>
          <t>La lista de suites de restricción vive en un solo archivo</t>
        </is>
      </c>
      <c r="E201" s="69" t="n"/>
      <c r="F201" s="69" t="n"/>
    </row>
    <row r="202" ht="57" customHeight="1" s="36">
      <c r="A202" s="67" t="inlineStr">
        <is>
          <t>DEC-075</t>
        </is>
      </c>
      <c r="B202" s="68" t="inlineStr">
        <is>
          <t>Decidida</t>
        </is>
      </c>
      <c r="C202" s="68" t="n"/>
      <c r="D202" s="69" t="inlineStr">
        <is>
          <t>El relevo del contacto principal se hace, no se rechaza</t>
        </is>
      </c>
      <c r="E202" s="69" t="n"/>
      <c r="F202" s="69" t="n"/>
    </row>
    <row r="203" ht="23.25" customHeight="1" s="36">
      <c r="A203" s="67" t="inlineStr">
        <is>
          <t>DEC-074</t>
        </is>
      </c>
      <c r="B203" s="68" t="inlineStr">
        <is>
          <t>Decidida</t>
        </is>
      </c>
      <c r="C203" s="68" t="n"/>
      <c r="D203" s="69" t="inlineStr">
        <is>
          <t>Al dar de alta un cliente se crea su primera marca</t>
        </is>
      </c>
      <c r="E203" s="69" t="n"/>
      <c r="F203" s="69" t="n"/>
    </row>
    <row r="204" ht="23.25" customHeight="1" s="36">
      <c r="A204" s="67" t="inlineStr">
        <is>
          <t>DEC-073</t>
        </is>
      </c>
      <c r="B204" s="68" t="inlineStr">
        <is>
          <t>Decidida</t>
        </is>
      </c>
      <c r="C204" s="68" t="n"/>
      <c r="D204" s="69" t="inlineStr">
        <is>
          <t>Un prospecto se apunta en cualquier país; activarlo exige cobertura</t>
        </is>
      </c>
      <c r="E204" s="69" t="inlineStr">
        <is>
          <t>ADOPTADA e implementada (2026-08-24, iteración 3.9)</t>
        </is>
      </c>
      <c r="F204" s="69" t="n"/>
    </row>
    <row r="205" ht="23.25" customHeight="1" s="36">
      <c r="A205" s="67" t="inlineStr">
        <is>
          <t>DEC-072</t>
        </is>
      </c>
      <c r="B205" s="68" t="inlineStr">
        <is>
          <t>Decidida</t>
        </is>
      </c>
      <c r="C205" s="68" t="n"/>
      <c r="D205" s="69" t="inlineStr">
        <is>
          <t>creator_addresses queda fuera de la regla de periodos</t>
        </is>
      </c>
      <c r="E205" s="69" t="n"/>
      <c r="F205" s="69" t="n"/>
    </row>
    <row r="206" ht="45.75" customHeight="1" s="36">
      <c r="A206" s="67" t="inlineStr">
        <is>
          <t>DEC-071</t>
        </is>
      </c>
      <c r="B206" s="68" t="inlineStr">
        <is>
          <t>Decidida</t>
        </is>
      </c>
      <c r="C206" s="68" t="n"/>
      <c r="D206" s="69" t="inlineStr">
        <is>
          <t>Un perfil fiscal nuevo no puede empezar antes que el vigente</t>
        </is>
      </c>
      <c r="E206" s="69" t="n"/>
      <c r="F206" s="69" t="n"/>
    </row>
    <row r="207" ht="34.5" customHeight="1" s="36">
      <c r="A207" s="67" t="inlineStr">
        <is>
          <t>DEC-070</t>
        </is>
      </c>
      <c r="B207" s="68" t="inlineStr">
        <is>
          <t>Decidida</t>
        </is>
      </c>
      <c r="C207" s="68" t="n"/>
      <c r="D207" s="69" t="inlineStr">
        <is>
          <t>Un bloqueo de agenda se registra aunque pise una campaña aceptada</t>
        </is>
      </c>
      <c r="E207" s="69" t="n"/>
      <c r="F207" s="69" t="n"/>
    </row>
    <row r="208" ht="23.25" customHeight="1" s="36">
      <c r="A208" s="67" t="inlineStr">
        <is>
          <t>DEC-069</t>
        </is>
      </c>
      <c r="B208" s="68" t="inlineStr">
        <is>
          <t>Decidida</t>
        </is>
      </c>
      <c r="C208" s="68" t="n"/>
      <c r="D208" s="69" t="inlineStr">
        <is>
          <t>Las tarifas tienen permiso propio: creator.rate.manage</t>
        </is>
      </c>
      <c r="E208" s="69" t="inlineStr">
        <is>
          <t>ADOPTADA e implementada (2026-08-24, iteración 3.9)</t>
        </is>
      </c>
      <c r="F208" s="69" t="n"/>
    </row>
    <row r="209" ht="23.25" customHeight="1" s="36">
      <c r="A209" s="67" t="inlineStr">
        <is>
          <t>DEC-068</t>
        </is>
      </c>
      <c r="B209" s="68" t="inlineStr">
        <is>
          <t>Decidida</t>
        </is>
      </c>
      <c r="C209" s="68" t="n"/>
      <c r="D209" s="69" t="inlineStr">
        <is>
          <t>Cero es un precio válido, pero hay que declararlo</t>
        </is>
      </c>
      <c r="E209" s="69" t="inlineStr">
        <is>
          <t>ADOPTADA e implementada (2026-08-24, iteración 3.9)</t>
        </is>
      </c>
      <c r="F209" s="69" t="n"/>
    </row>
    <row r="210" ht="45.75" customHeight="1" s="36">
      <c r="A210" s="67" t="inlineStr">
        <is>
          <t>DEC-067</t>
        </is>
      </c>
      <c r="B210" s="68" t="inlineStr">
        <is>
          <t>Decidida</t>
        </is>
      </c>
      <c r="C210" s="68" t="n"/>
      <c r="D210" s="69" t="inlineStr">
        <is>
          <t>Los dos permisos de medios de pago van al rol finance</t>
        </is>
      </c>
      <c r="E210" s="69" t="inlineStr">
        <is>
          <t>ADOPTADA e implementada (2026-08-23, iteración 3.8)</t>
        </is>
      </c>
      <c r="F210" s="69" t="n"/>
    </row>
    <row r="211" ht="34.5" customHeight="1" s="36">
      <c r="A211" s="67" t="inlineStr">
        <is>
          <t>DEC-066</t>
        </is>
      </c>
      <c r="B211" s="68" t="inlineStr">
        <is>
          <t>Decidida</t>
        </is>
      </c>
      <c r="C211" s="68" t="n"/>
      <c r="D211" s="69" t="inlineStr">
        <is>
          <t>La cuenta de un medio de pago es inmutable: se sustituye, no se edita</t>
        </is>
      </c>
      <c r="E211" s="69" t="inlineStr">
        <is>
          <t>ADOPTADA e implementada (2026-08-23, iteración 3.8)</t>
        </is>
      </c>
      <c r="F211" s="69" t="n"/>
    </row>
    <row r="212" ht="23.25" customHeight="1" s="36">
      <c r="A212" s="67" t="inlineStr">
        <is>
          <t>DEC-065</t>
        </is>
      </c>
      <c r="B212" s="68" t="inlineStr">
        <is>
          <t>Decidida</t>
        </is>
      </c>
      <c r="C212" s="68" t="n"/>
      <c r="D212" s="69" t="inlineStr">
        <is>
          <t>La misma cuenta en dos creadores se marca, no se rechaza</t>
        </is>
      </c>
      <c r="E212" s="69" t="inlineStr">
        <is>
          <t>ADOPTADA e implementada (2026-08-23, iteración 3.8)</t>
        </is>
      </c>
      <c r="F212" s="69" t="n"/>
    </row>
    <row r="213" ht="45.75" customHeight="1" s="36">
      <c r="A213" s="67" t="inlineStr">
        <is>
          <t>DEC-064</t>
        </is>
      </c>
      <c r="B213" s="68" t="inlineStr">
        <is>
          <t>Decidida</t>
        </is>
      </c>
      <c r="C213" s="68" t="n"/>
      <c r="D213" s="69" t="inlineStr">
        <is>
          <t>El enfriamiento de un medio de pago son 24 horas, y es configuración</t>
        </is>
      </c>
      <c r="E213" s="69" t="inlineStr">
        <is>
          <t>ADOPTADA e implementada (2026-08-23, iteración 3.8)</t>
        </is>
      </c>
      <c r="F213" s="69" t="n"/>
    </row>
    <row r="214" ht="34.5" customHeight="1" s="36">
      <c r="A214" s="67" t="inlineStr">
        <is>
          <t>DEC-063</t>
        </is>
      </c>
      <c r="B214" s="68" t="inlineStr">
        <is>
          <t>Decidida</t>
        </is>
      </c>
      <c r="C214" s="68" t="n"/>
      <c r="D214" s="69" t="inlineStr">
        <is>
          <t>Los umbrales de coherencia son juicio, no verdad; y no rechazan nada</t>
        </is>
      </c>
      <c r="E214" s="69" t="inlineStr">
        <is>
          <t>ADOPTADA e implementada (2026-08-23, iteración 3.7) — umbrales revisables</t>
        </is>
      </c>
      <c r="F214" s="69" t="n"/>
    </row>
    <row r="215" ht="23.25" customHeight="1" s="36">
      <c r="A215" s="67" t="inlineStr">
        <is>
          <t>DEC-062</t>
        </is>
      </c>
      <c r="B215" s="68" t="inlineStr">
        <is>
          <t>Decidida</t>
        </is>
      </c>
      <c r="C215" s="68" t="n"/>
      <c r="D215" s="69" t="inlineStr">
        <is>
          <t>Los dos permisos fiscales van al mismo rol; la separación la impone la base</t>
        </is>
      </c>
      <c r="E215" s="69" t="inlineStr">
        <is>
          <t>ADOPTADA e implementada (2026-08-23, iteración 3.6)</t>
        </is>
      </c>
      <c r="F215" s="69" t="n"/>
    </row>
    <row r="216" ht="23.25" customHeight="1" s="36">
      <c r="A216" s="67" t="inlineStr">
        <is>
          <t>DEC-061</t>
        </is>
      </c>
      <c r="B216" s="68" t="inlineStr">
        <is>
          <t>Decidida</t>
        </is>
      </c>
      <c r="C216" s="68" t="n"/>
      <c r="D216" s="69" t="inlineStr">
        <is>
          <t>Las pruebas usan una base local y desechable, nunca la de desarrollo</t>
        </is>
      </c>
      <c r="E216" s="69" t="inlineStr">
        <is>
          <t>ADOPTADA e implementada (2026-08-23, iteración 3.5)</t>
        </is>
      </c>
      <c r="F216" s="69" t="n"/>
    </row>
    <row r="217" ht="45.75" customHeight="1" s="36">
      <c r="A217" s="67" t="inlineStr">
        <is>
          <t>DEC-060</t>
        </is>
      </c>
      <c r="B217" s="68" t="inlineStr">
        <is>
          <t>Decidida</t>
        </is>
      </c>
      <c r="C217" s="68" t="n"/>
      <c r="D217" s="69" t="inlineStr">
        <is>
          <t>Verificar y activar son permisos distintos, pero hoy el mismo rol</t>
        </is>
      </c>
      <c r="E217" s="69" t="inlineStr">
        <is>
          <t>ADOPTADA (2026-08-23, iteración 3.5) — decisión de negocio revisable</t>
        </is>
      </c>
      <c r="F217" s="69" t="n"/>
    </row>
    <row r="218" ht="34.5" customHeight="1" s="36">
      <c r="A218" s="67" t="inlineStr">
        <is>
          <t>DEC-059</t>
        </is>
      </c>
      <c r="B218" s="68" t="inlineStr">
        <is>
          <t>Decidida</t>
        </is>
      </c>
      <c r="C218" s="68" t="n"/>
      <c r="D218" s="69" t="inlineStr">
        <is>
          <t>Se acepta una versión de los términos, no una página</t>
        </is>
      </c>
      <c r="E218" s="69" t="inlineStr">
        <is>
          <t>ADOPTADA e implementada (2026-08-23, iteración 3.5)</t>
        </is>
      </c>
      <c r="F218" s="69" t="n"/>
    </row>
    <row r="219" ht="23.25" customHeight="1" s="36">
      <c r="A219" s="67" t="inlineStr">
        <is>
          <t>DEC-058</t>
        </is>
      </c>
      <c r="B219" s="68" t="inlineStr">
        <is>
          <t>Decidida</t>
        </is>
      </c>
      <c r="C219" s="68" t="n"/>
      <c r="D219" s="69" t="inlineStr">
        <is>
          <t>La identidad verificada es evidencia, no una casilla</t>
        </is>
      </c>
      <c r="E219" s="69" t="inlineStr">
        <is>
          <t>ADOPTADA e implementada (2026-08-23, iteración 3.5)</t>
        </is>
      </c>
      <c r="F219" s="69" t="n"/>
    </row>
    <row r="220" ht="23.25" customHeight="1" s="36">
      <c r="A220" s="67" t="inlineStr">
        <is>
          <t>DEC-057</t>
        </is>
      </c>
      <c r="B220" s="68" t="inlineStr">
        <is>
          <t>Decidida</t>
        </is>
      </c>
      <c r="C220" s="68" t="n"/>
      <c r="D220" s="69" t="inlineStr">
        <is>
          <t>Aprobar una solicitud no activa al creador</t>
        </is>
      </c>
      <c r="E220" s="69" t="inlineStr">
        <is>
          <t>ADOPTADA e implementada (2026-08-22, iteración 3.4)</t>
        </is>
      </c>
      <c r="F220" s="69" t="n"/>
    </row>
    <row r="221" ht="45.75" customHeight="1" s="36">
      <c r="A221" s="67" t="inlineStr">
        <is>
          <t>DEC-056</t>
        </is>
      </c>
      <c r="B221" s="68" t="inlineStr">
        <is>
          <t>Decidida</t>
        </is>
      </c>
      <c r="C221" s="68" t="n"/>
      <c r="D221" s="69" t="inlineStr">
        <is>
          <t>La bitácora se ordena por id, no por fecha, y redacta lo sensible</t>
        </is>
      </c>
      <c r="E221" s="69" t="inlineStr">
        <is>
          <t>ADOPTADA e implementada (2026-08-22, iteración 3.3)</t>
        </is>
      </c>
      <c r="F221" s="69" t="n"/>
    </row>
    <row r="222" ht="34.5" customHeight="1" s="36">
      <c r="A222" s="67" t="inlineStr">
        <is>
          <t>DEC-055</t>
        </is>
      </c>
      <c r="B222" s="68" t="inlineStr">
        <is>
          <t>Decidida</t>
        </is>
      </c>
      <c r="C222" s="68" t="n"/>
      <c r="D222" s="69" t="inlineStr">
        <is>
          <t>La primera pantalla de escritura no toca la identidad</t>
        </is>
      </c>
      <c r="E222" s="69" t="inlineStr">
        <is>
          <t>ADOPTADA e implementada (2026-08-22, iteración 3.2)</t>
        </is>
      </c>
      <c r="F222" s="69" t="inlineStr">
        <is>
          <t xml:space="preserve"> — Primera pantalla del proyecto que escribe: edición de creador.</t>
        </is>
      </c>
    </row>
    <row r="223" ht="23.85" customHeight="1" s="36">
      <c r="A223" s="67" t="inlineStr">
        <is>
          <t>DEC-054</t>
        </is>
      </c>
      <c r="B223" s="68" t="inlineStr">
        <is>
          <t>Decidida</t>
        </is>
      </c>
      <c r="C223" s="68" t="n"/>
      <c r="D223" s="69" t="inlineStr">
        <is>
          <t>La bitácora es inmutable en la base, no por convención</t>
        </is>
      </c>
      <c r="E223" s="69" t="inlineStr">
        <is>
          <t>ADOPTADA e implementada (2026-08-22, iteración 3.2)</t>
        </is>
      </c>
      <c r="F223" s="69" t="inlineStr">
        <is>
          <t xml:space="preserve"> — audit_logs existía desde 2.4 y nadie escribía en ella. Al ir a llenarla apareció el segundo problema: la tabla admitía UPDATE y DELETE como cualquier otra.</t>
        </is>
      </c>
    </row>
    <row r="224" ht="46.25" customHeight="1" s="36">
      <c r="A224" s="67" t="inlineStr">
        <is>
          <t>DEC-053</t>
        </is>
      </c>
      <c r="B224" s="68" t="inlineStr">
        <is>
          <t>Decidida</t>
        </is>
      </c>
      <c r="C224" s="68" t="n"/>
      <c r="D224" s="69" t="inlineStr">
        <is>
          <t>Autorización por permiso, sin atajo para el administrador</t>
        </is>
      </c>
      <c r="E224" s="69" t="inlineStr">
        <is>
          <t>ADOPTADA e implementada (2026-08-22, iteración 3.1)</t>
        </is>
      </c>
      <c r="F224" s="69" t="n"/>
    </row>
    <row r="225" ht="35.05" customHeight="1" s="36">
      <c r="A225" s="67" t="inlineStr">
        <is>
          <t>DEC-052</t>
        </is>
      </c>
      <c r="B225" s="68" t="inlineStr">
        <is>
          <t>Decidida</t>
        </is>
      </c>
      <c r="C225" s="68" t="n"/>
      <c r="D225" s="69" t="inlineStr">
        <is>
          <t>MySQL no admite subconsultas sobre la tabla que se está modificando</t>
        </is>
      </c>
      <c r="E225" s="69" t="inlineStr">
        <is>
          <t>ADOPTADA (2026-08-22)</t>
        </is>
      </c>
      <c r="F225" s="69" t="n"/>
    </row>
    <row r="226">
      <c r="A226" s="67" t="inlineStr">
        <is>
          <t>DEC-051</t>
        </is>
      </c>
      <c r="B226" s="68" t="inlineStr">
        <is>
          <t>Decidida</t>
        </is>
      </c>
      <c r="C226" s="68" t="n"/>
      <c r="D226" s="69" t="inlineStr">
        <is>
          <t>El CI corre la suite contra los dos motores, no contra uno</t>
        </is>
      </c>
      <c r="E226" s="69" t="inlineStr">
        <is>
          <t>ADOPTADA (2026-08-22). Recordatorio: tools/github-workflow-ci.yml sigue pendiente de mover a .github/workflows/ci.yml a mano — es ruta protegida</t>
        </is>
      </c>
      <c r="F226" s="69" t="inlineStr">
        <is>
          <t xml:space="preserve"> — El CI validaba formato, análisis estático, fronteras entre módulos, migraciones y pruebas. Nada de eso comprueba que las restricciones se apliquen en el motor de producción, que no aplica CHECK.</t>
        </is>
      </c>
    </row>
    <row r="227">
      <c r="A227" s="67" t="inlineStr">
        <is>
          <t>DEC-050</t>
        </is>
      </c>
      <c r="B227" s="68" t="inlineStr">
        <is>
          <t>Decidida</t>
        </is>
      </c>
      <c r="C227" s="68" t="n"/>
      <c r="D227" s="69" t="inlineStr">
        <is>
          <t>Las migraciones se contrastan contra el esquema de referencia, no se confía en que coincidan</t>
        </is>
      </c>
      <c r="E227" s="69" t="inlineStr">
        <is>
          <t>ADOPTADA e implementada (2026-08-22)</t>
        </is>
      </c>
      <c r="F227" s="69" t="n"/>
    </row>
    <row r="228">
      <c r="A228" s="67" t="inlineStr">
        <is>
          <t>DEC-049</t>
        </is>
      </c>
      <c r="B228" s="68" t="inlineStr">
        <is>
          <t>Decidida</t>
        </is>
      </c>
      <c r="C228" s="68" t="n"/>
      <c r="D228" s="69" t="inlineStr">
        <is>
          <t>Sin datos fiscales no hay alta, pero acompañamos a formalizarse</t>
        </is>
      </c>
      <c r="E228" s="69" t="inlineStr">
        <is>
          <t>ADOPTADA (2026-08-22)</t>
        </is>
      </c>
      <c r="F228" s="69" t="inlineStr">
        <is>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is>
      </c>
    </row>
    <row r="229">
      <c r="A229" s="67" t="inlineStr">
        <is>
          <t>DEC-048</t>
        </is>
      </c>
      <c r="B229" s="68" t="inlineStr">
        <is>
          <t>Decidida</t>
        </is>
      </c>
      <c r="C229" s="68" t="n"/>
      <c r="D229" s="69" t="inlineStr">
        <is>
          <t>La retención tiene tres estados, no dos</t>
        </is>
      </c>
      <c r="E229" s="69" t="inlineStr">
        <is>
          <t>ADOPTADA e implementada (2026-08-22, iteración 2.15)</t>
        </is>
      </c>
      <c r="F229" s="69" t="inlineStr">
        <is>
          <t xml:space="preserve"> — Sobre Q-40 se decidió «que el modelo lo deje configurable». Al implementarlo apareció que el riesgo que yo había señalado —*«alguien pone un número a ojo y nadie se entera»*— ya estaba dentro del modelo, y era peor.</t>
        </is>
      </c>
    </row>
    <row r="230">
      <c r="A230" s="67" t="inlineStr">
        <is>
          <t>DEC-047</t>
        </is>
      </c>
      <c r="B230" s="68" t="inlineStr">
        <is>
          <t>Decidida</t>
        </is>
      </c>
      <c r="C230" s="68" t="n"/>
      <c r="D230" s="69" t="inlineStr">
        <is>
          <t>Se factura a todos los países desde Perú</t>
        </is>
      </c>
      <c r="E230" s="69" t="inlineStr">
        <is>
          <t>ADOPTADA e implementada (2026-08-22)</t>
        </is>
      </c>
      <c r="F230" s="69" t="inlineStr">
        <is>
          <t xml:space="preserve"> — Respuesta a Q-42. En lugar de constituir sociedad en cada país, se emiten todos los comprobantes desde la sociedad peruana. Los países se resuelven uno a uno más adelante.</t>
        </is>
      </c>
    </row>
    <row r="231">
      <c r="A231" s="67" t="inlineStr">
        <is>
          <t>DEC-046</t>
        </is>
      </c>
      <c r="B231" s="68" t="inlineStr">
        <is>
          <t>Decidida</t>
        </is>
      </c>
      <c r="C231" s="68" t="n"/>
      <c r="D231" s="69" t="inlineStr">
        <is>
          <t>La base impone lo que ve en una fila; el resto lo impone el repositorio</t>
        </is>
      </c>
      <c r="E231" s="69" t="inlineStr">
        <is>
          <t>ADOPTADA (2026-08-22, iteración 2.13)</t>
        </is>
      </c>
      <c r="F231" s="69" t="inlineStr">
        <is>
          <t xml:space="preserve"> — Cinco invariantes de finanzas son de varias filas o varias tablas (suma de líneas = subtotal, cobros ≤ total facturado, moneda de asiento = moneda de su payout, signo de una reversión, saldo no negativo). Ningún CHECK puede expresarlas.</t>
        </is>
      </c>
    </row>
    <row r="232">
      <c r="A232" s="67" t="inlineStr">
        <is>
          <t>DEC-045</t>
        </is>
      </c>
      <c r="B232" s="68" t="inlineStr">
        <is>
          <t>Decidida</t>
        </is>
      </c>
      <c r="C232" s="68" t="n"/>
      <c r="D232" s="69" t="inlineStr">
        <is>
          <t>La inmutabilidad financiera se impone con disparadores, no con convención</t>
        </is>
      </c>
      <c r="E232" s="69" t="inlineStr">
        <is>
          <t>ADOPTADA e implementada (2026-08-22, iteración 2.13)</t>
        </is>
      </c>
      <c r="F232" s="69" t="inlineStr">
        <is>
          <t xml:space="preserve"> — BR-FIN-008 («ningún registro financiero se elimina físicamente») y BR-FIN-002 («una corrección es un asiento de reversión») eran hasta ahora reglas de la capa de aplicación.</t>
        </is>
      </c>
    </row>
    <row r="233">
      <c r="A233" s="67" t="inlineStr">
        <is>
          <t>DEC-044</t>
        </is>
      </c>
      <c r="B233" s="68" t="inlineStr">
        <is>
          <t>Decidida</t>
        </is>
      </c>
      <c r="C233" s="68" t="n"/>
      <c r="D233" s="69" t="inlineStr">
        <is>
          <t>Todo pago pertenece a un lote (no existen pagos sueltos)</t>
        </is>
      </c>
      <c r="E233" s="69" t="inlineStr">
        <is>
          <t>ADOPTADA e implementada (2026-08-22, iteración 2.13)</t>
        </is>
      </c>
      <c r="F233" s="69" t="inlineStr">
        <is>
          <t xml:space="preserve"> — La primera versión de payouts permitía payout_batch_id NULL, pensando en el pago puntual fuera de la corrida quincenal.</t>
        </is>
      </c>
    </row>
    <row r="234">
      <c r="A234" s="67" t="inlineStr">
        <is>
          <t>DEC-043</t>
        </is>
      </c>
      <c r="B234" s="68" t="inlineStr">
        <is>
          <t>Decidida</t>
        </is>
      </c>
      <c r="C234" s="68" t="n"/>
      <c r="D234" s="69" t="inlineStr">
        <is>
          <t>Dónde vive la base de datos de desarrollo</t>
        </is>
      </c>
      <c r="E234" s="69" t="inlineStr">
        <is>
          <t>ACORDADA en su intención; el motor concreto depende de DEC-042</t>
        </is>
      </c>
      <c r="F234" s="69" t="inlineStr">
        <is>
          <t>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is>
      </c>
    </row>
    <row r="235">
      <c r="A235" s="67" t="inlineStr">
        <is>
          <t>DEC-042</t>
        </is>
      </c>
      <c r="B235" s="68" t="inlineStr">
        <is>
          <t>Decidida</t>
        </is>
      </c>
      <c r="C235" s="68" t="n"/>
      <c r="D235" s="69" t="inlineStr">
        <is>
          <t>🔴 El servidor es MySQL 5.7 y no aplica los CHECK *(confirmado empíricamente)*</t>
        </is>
      </c>
      <c r="E235" s="69" t="inlineStr">
        <is>
          <t>🔴 CONFIRMADA — pendiente de elegir entre B y C</t>
        </is>
      </c>
      <c r="F235" s="69" t="inlineStr">
        <is>
          <t xml:space="preserve"> — El servidor de la aplicación es Percona Server 5.7.44-48 sobre cPanel. La base de desarrollo (..._dev) y la de producción viven en él. docs/03 asumía MySQL 8.</t>
        </is>
      </c>
    </row>
    <row r="236">
      <c r="A236" s="67" t="inlineStr">
        <is>
          <t>DEC-041</t>
        </is>
      </c>
      <c r="B236" s="68" t="inlineStr">
        <is>
          <t>Propuesta</t>
        </is>
      </c>
      <c r="C236" s="68" t="n"/>
      <c r="D236" s="69" t="inlineStr">
        <is>
          <t>Gamificación y Creator Score no se fusionan</t>
        </is>
      </c>
      <c r="E236" s="69" t="inlineStr">
        <is>
          <t>PROPUESTA</t>
        </is>
      </c>
      <c r="F236" s="69" t="inlineStr">
        <is>
          <t>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is>
      </c>
    </row>
    <row r="237">
      <c r="A237" s="67" t="inlineStr">
        <is>
          <t>DEC-040</t>
        </is>
      </c>
      <c r="B237" s="68" t="inlineStr">
        <is>
          <t>Propuesta</t>
        </is>
      </c>
      <c r="C237" s="68" t="n"/>
      <c r="D237" s="69" t="inlineStr">
        <is>
          <t>Referidos con consolidación diferida</t>
        </is>
      </c>
      <c r="E237" s="69" t="inlineStr">
        <is>
          <t>PROPUESTA</t>
        </is>
      </c>
      <c r="F237" s="69" t="inlineStr">
        <is>
          <t>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is>
      </c>
    </row>
    <row r="238">
      <c r="A238" s="67" t="inlineStr">
        <is>
          <t>DEC-039</t>
        </is>
      </c>
      <c r="B238" s="68" t="inlineStr">
        <is>
          <t>Propuesta</t>
        </is>
      </c>
      <c r="C238" s="68" t="n"/>
      <c r="D238" s="69" t="inlineStr">
        <is>
          <t>Los retos internos llevan siempre recompensa tangible 🔴</t>
        </is>
      </c>
      <c r="E238" s="69" t="inlineStr">
        <is>
          <t>PROPUESTA</t>
        </is>
      </c>
      <c r="F238" s="69" t="inlineStr">
        <is>
          <t>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is>
      </c>
    </row>
    <row r="239">
      <c r="A239" s="67" t="inlineStr">
        <is>
          <t>DEC-038</t>
        </is>
      </c>
      <c r="B239" s="68" t="inlineStr">
        <is>
          <t>Propuesta</t>
        </is>
      </c>
      <c r="C239" s="68" t="n"/>
      <c r="D239" s="69" t="inlineStr">
        <is>
          <t>Ranking por cohortes, sin tabla global</t>
        </is>
      </c>
      <c r="E239" s="69" t="inlineStr">
        <is>
          <t>PROPUESTA</t>
        </is>
      </c>
      <c r="F239" s="69" t="inlineStr">
        <is>
          <t>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is>
      </c>
    </row>
    <row r="240">
      <c r="A240" s="67" t="inlineStr">
        <is>
          <t>DEC-037</t>
        </is>
      </c>
      <c r="B240" s="68" t="inlineStr">
        <is>
          <t>Propuesta</t>
        </is>
      </c>
      <c r="C240" s="68" t="n"/>
      <c r="D240" s="69" t="inlineStr">
        <is>
          <t>Los niveles se calculan, no se almacenan</t>
        </is>
      </c>
      <c r="E240" s="69" t="inlineStr">
        <is>
          <t>PROPUESTA</t>
        </is>
      </c>
      <c r="F240" s="69" t="inlineStr">
        <is>
          <t>B. Permite ajustar umbrales sin quitarle puntos a nadie, que es justamente lo que DEC-035 prohíbe. — Las curvas de nivel se recalibran; el XP ya otorgado no debe verse afectado.</t>
        </is>
      </c>
    </row>
    <row r="241">
      <c r="A241" s="67" t="inlineStr">
        <is>
          <t>DEC-036</t>
        </is>
      </c>
      <c r="B241" s="68" t="inlineStr">
        <is>
          <t>Propuesta</t>
        </is>
      </c>
      <c r="C241" s="68" t="n"/>
      <c r="D241" s="69" t="inlineStr">
        <is>
          <t>Se premia comportamiento verificado, no resultados</t>
        </is>
      </c>
      <c r="E241" s="69" t="inlineStr">
        <is>
          <t>PROPUESTA</t>
        </is>
      </c>
      <c r="F241" s="69" t="inlineStr">
        <is>
          <t>C. A premia al algoritmo de Instagram, no al creador. B produce sobrecompromiso —creadores que aceptan lo que no pueden cumplir— y, en el caso de seguidores, desmotiva al micro-creador y premia el vector de fraude de R-04. Detalle en docs/13 §3. — ¿Sobre qué se otorga XP?</t>
        </is>
      </c>
    </row>
    <row r="242">
      <c r="A242" s="67" t="inlineStr">
        <is>
          <t>DEC-035</t>
        </is>
      </c>
      <c r="B242" s="68" t="inlineStr">
        <is>
          <t>Propuesta</t>
        </is>
      </c>
      <c r="C242" s="68" t="n"/>
      <c r="D242" s="69" t="inlineStr">
        <is>
          <t>El XP es append-only y nunca decrece</t>
        </is>
      </c>
      <c r="E242" s="69" t="inlineStr">
        <is>
          <t>PROPUESTA</t>
        </is>
      </c>
      <c r="F242" s="69" t="inlineStr">
        <is>
          <t>B. Quitar puntos se percibe como robo y destruye la confianza de golpe. Además sería castigar dos veces con el mecanismo equivocado. Mismo patrón que el ledger financiero: se corrige con asientos nuevos, no editando. — ¿Se puede restar XP por un incumplimiento?</t>
        </is>
      </c>
    </row>
    <row r="243">
      <c r="A243" s="67" t="inlineStr">
        <is>
          <t>DEC-034</t>
        </is>
      </c>
      <c r="B243" s="68" t="inlineStr">
        <is>
          <t>Propuesta</t>
        </is>
      </c>
      <c r="C243" s="68" t="n"/>
      <c r="D243" s="69" t="inlineStr">
        <is>
          <t>Gamificación como dominio propio (D13)</t>
        </is>
      </c>
      <c r="E243" s="69" t="inlineStr">
        <is>
          <t>PROPUESTA</t>
        </is>
      </c>
      <c r="F243" s="69" t="inlineStr">
        <is>
          <t>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is>
      </c>
    </row>
    <row r="244">
      <c r="A244" s="67" t="inlineStr">
        <is>
          <t>DEC-033</t>
        </is>
      </c>
      <c r="B244" s="68" t="inlineStr">
        <is>
          <t>Propuesta</t>
        </is>
      </c>
      <c r="C244" s="68" t="n"/>
      <c r="D244" s="69" t="inlineStr">
        <is>
          <t>Registrar la conexión emisora en cada documento</t>
        </is>
      </c>
      <c r="E244" s="69" t="inlineStr">
        <is>
          <t>PROPUESTA</t>
        </is>
      </c>
      <c r="F244" s="69" t="inlineStr">
        <is>
          <t>B, aplicado a comprobantes electrónicos, cobros por pasarela, pagos a creadores ejecutados por proveedor y correos enviados. — Paralelo exacto de DEC-019. Si dentro de un año hay que consultar ante el proveedor el estado del comprobante F001-00347, hay que saber por cuál se emitió.</t>
        </is>
      </c>
    </row>
    <row r="245">
      <c r="A245" s="67" t="inlineStr">
        <is>
          <t>DEC-032</t>
        </is>
      </c>
      <c r="B245" s="68" t="inlineStr">
        <is>
          <t>Propuesta</t>
        </is>
      </c>
      <c r="C245" s="68" t="n"/>
      <c r="D245" s="69" t="inlineStr">
        <is>
          <t>Compartibilidad declarada por propósito</t>
        </is>
      </c>
      <c r="E245" s="69" t="inlineStr">
        <is>
          <t>PROPUESTA</t>
        </is>
      </c>
      <c r="F245" s="69" t="inlineStr">
        <is>
          <t>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is>
      </c>
    </row>
    <row r="246">
      <c r="A246" s="67" t="inlineStr">
        <is>
          <t>DEC-031</t>
        </is>
      </c>
      <c r="B246" s="68" t="inlineStr">
        <is>
          <t>Propuesta</t>
        </is>
      </c>
      <c r="C246" s="68" t="n"/>
      <c r="D246" s="69" t="inlineStr">
        <is>
          <t>Una URL de webhook por conexión</t>
        </is>
      </c>
      <c r="E246" s="69" t="inlineStr">
        <is>
          <t>PROPUESTA</t>
        </is>
      </c>
      <c r="F246" s="69" t="inlineStr">
        <is>
          <t>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is>
      </c>
    </row>
    <row r="247">
      <c r="A247" s="67" t="inlineStr">
        <is>
          <t>DEC-030</t>
        </is>
      </c>
      <c r="B247" s="68" t="inlineStr">
        <is>
          <t>Propuesta</t>
        </is>
      </c>
      <c r="C247" s="68" t="n"/>
      <c r="D247" s="69" t="inlineStr">
        <is>
          <t>Cifrado sobre para las credenciales</t>
        </is>
      </c>
      <c r="E247" s="69" t="inlineStr">
        <is>
          <t>PROPUESTA</t>
        </is>
      </c>
      <c r="F247" s="69" t="inlineStr">
        <is>
          <t>B, con versionado en la rotación (no sobrescribir), escritura sin lectura desde la interfaz, y un filtro de redacción a nivel del logger — no "acordarse de no loguear". — El addendum señala que las credenciales pueden requerir almacenamiento distinto, sin concretar.</t>
        </is>
      </c>
    </row>
    <row r="248">
      <c r="A248" s="67" t="inlineStr">
        <is>
          <t>DEC-029</t>
        </is>
      </c>
      <c r="B248" s="68" t="inlineStr">
        <is>
          <t>Propuesta</t>
        </is>
      </c>
      <c r="C248" s="68" t="n"/>
      <c r="D248" s="69" t="inlineStr">
        <is>
          <t>Aislamiento de ambiente como barrera, no como filtro</t>
        </is>
      </c>
      <c r="E248" s="69" t="inlineStr">
        <is>
          <t>PROPUESTA</t>
        </is>
      </c>
      <c r="F248" s="69" t="inlineStr">
        <is>
          <t>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is>
      </c>
    </row>
    <row r="249">
      <c r="A249" s="67" t="inlineStr">
        <is>
          <t>DEC-028</t>
        </is>
      </c>
      <c r="B249" s="68" t="inlineStr">
        <is>
          <t>Propuesta</t>
        </is>
      </c>
      <c r="C249" s="68" t="n"/>
      <c r="D249" s="69" t="inlineStr">
        <is>
          <t>Matriz de propósitos obligatorios por país</t>
        </is>
      </c>
      <c r="E249" s="69" t="inlineStr">
        <is>
          <t>PROPUESTA</t>
        </is>
      </c>
      <c r="F249" s="69" t="inlineStr">
        <is>
          <t>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is>
      </c>
    </row>
    <row r="250">
      <c r="A250" s="67" t="inlineStr">
        <is>
          <t>DEC-027</t>
        </is>
      </c>
      <c r="B250" s="68" t="inlineStr">
        <is>
          <t>Propuesta</t>
        </is>
      </c>
      <c r="C250" s="68" t="n"/>
      <c r="D250" s="69" t="inlineStr">
        <is>
          <t>Resolución por especificidad, con empates rechazados al guardar</t>
        </is>
      </c>
      <c r="E250" s="69" t="inlineStr">
        <is>
          <t>PROPUESTA</t>
        </is>
      </c>
      <c r="F250" s="69" t="inlineStr">
        <is>
          <t>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is>
      </c>
    </row>
    <row r="251">
      <c r="A251" s="67" t="inlineStr">
        <is>
          <t>DEC-026</t>
        </is>
      </c>
      <c r="B251" s="68" t="inlineStr">
        <is>
          <t>Propuesta</t>
        </is>
      </c>
      <c r="C251" s="68" t="n"/>
      <c r="D251" s="69" t="inlineStr">
        <is>
          <t>purpose es un enum cerrado en código, no un catálogo editable</t>
        </is>
      </c>
      <c r="E251" s="69" t="inlineStr">
        <is>
          <t>PROPUESTA</t>
        </is>
      </c>
      <c r="F251" s="69" t="inlineStr">
        <is>
          <t>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is>
      </c>
    </row>
    <row r="252">
      <c r="A252" s="67" t="inlineStr">
        <is>
          <t>DEC-025</t>
        </is>
      </c>
      <c r="B252" s="68" t="inlineStr">
        <is>
          <t>Propuesta</t>
        </is>
      </c>
      <c r="C252" s="68" t="n"/>
      <c r="D252" s="69" t="inlineStr">
        <is>
          <t>Proveedor / Conexión / Asignación como tres entidades</t>
        </is>
      </c>
      <c r="E252" s="69" t="inlineStr">
        <is>
          <t>PROPUESTA</t>
        </is>
      </c>
      <c r="F252" s="69" t="inlineStr">
        <is>
          <t>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is>
      </c>
    </row>
    <row r="253">
      <c r="A253" s="67" t="inlineStr">
        <is>
          <t>DEC-024</t>
        </is>
      </c>
      <c r="B253" s="68" t="inlineStr">
        <is>
          <t>Propuesta</t>
        </is>
      </c>
      <c r="C253" s="68" t="n"/>
      <c r="D253" s="69" t="inlineStr">
        <is>
          <t>Las integraciones son un subsistema propio, no Settings</t>
        </is>
      </c>
      <c r="E253" s="69" t="inlineStr">
        <is>
          <t>PROPUESTA</t>
        </is>
      </c>
      <c r="F253" s="69" t="inlineStr">
        <is>
          <t>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is>
      </c>
    </row>
    <row r="254">
      <c r="A254" s="67" t="inlineStr">
        <is>
          <t>DEC-023</t>
        </is>
      </c>
      <c r="B254" s="68" t="inlineStr">
        <is>
          <t>Propuesta</t>
        </is>
      </c>
      <c r="C254" s="68" t="n"/>
      <c r="D254" s="69" t="inlineStr">
        <is>
          <t>Identidad dual en comunicaciones</t>
        </is>
      </c>
      <c r="E254" s="69" t="inlineStr">
        <is>
          <t>PROPUESTA</t>
        </is>
      </c>
      <c r="F254" s="69" t="inlineStr">
        <is>
          <t>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is>
      </c>
    </row>
    <row r="255">
      <c r="A255" s="67" t="inlineStr">
        <is>
          <t>DEC-022</t>
        </is>
      </c>
      <c r="B255" s="68" t="inlineStr">
        <is>
          <t>Propuesta</t>
        </is>
      </c>
      <c r="C255" s="68" t="n"/>
      <c r="D255" s="69" t="inlineStr">
        <is>
          <t>Monedas: no derivar del país de la entidad</t>
        </is>
      </c>
      <c r="E255" s="69" t="inlineStr">
        <is>
          <t>PROPUESTA</t>
        </is>
      </c>
      <c r="F255" s="69" t="inlineStr">
        <is>
          <t>B. Coherente con BR-FIN-004 y BR-FIN-009, que ya exigían no asumir una sola moneda. — §11 del addendum. CTS Perú puede facturar en PEN a un cliente peruano y en USD a uno ecuatoriano.</t>
        </is>
      </c>
    </row>
    <row r="256">
      <c r="A256" s="67" t="inlineStr">
        <is>
          <t>DEC-021</t>
        </is>
      </c>
      <c r="B256" s="68" t="inlineStr">
        <is>
          <t>Propuesta</t>
        </is>
      </c>
      <c r="C256" s="68" t="n"/>
      <c r="D256" s="69" t="inlineStr">
        <is>
          <t>Series y numeración correlativa por entidad legal</t>
        </is>
      </c>
      <c r="E256" s="69" t="inlineStr">
        <is>
          <t>PROPUESTA</t>
        </is>
      </c>
      <c r="F256" s="69" t="inlineStr">
        <is>
          <t>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is>
      </c>
    </row>
    <row r="257">
      <c r="A257" s="67" t="inlineStr">
        <is>
          <t>DEC-020</t>
        </is>
      </c>
      <c r="B257" s="68" t="inlineStr">
        <is>
          <t>Decidida</t>
        </is>
      </c>
      <c r="C257" s="68" t="n"/>
      <c r="D257" s="69" t="inlineStr">
        <is>
          <t>Entidad que factura vs. entidad que liquida al creador</t>
        </is>
      </c>
      <c r="E257" s="69" t="inlineStr">
        <is>
          <t xml:space="preserve">✅ DECIDIDA (2026-08-27) por DEC-156: opción C, y sin el «en el MVP». La sociedad de la campaña paga a todos sus creadores, sea cual sea el país de cada uno (BR-LE-009, ahora 🔴). Dónde se comprueba lo </t>
        </is>
      </c>
      <c r="F257" s="69" t="inlineStr">
        <is>
          <t>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is>
      </c>
    </row>
    <row r="258">
      <c r="A258" s="67" t="inlineStr">
        <is>
          <t>DEC-019</t>
        </is>
      </c>
      <c r="B258" s="68" t="inlineStr">
        <is>
          <t>Propuesta</t>
        </is>
      </c>
      <c r="C258" s="68" t="n"/>
      <c r="D258" s="69" t="inlineStr">
        <is>
          <t>Entidad legal explícita e inmutable en cada documento</t>
        </is>
      </c>
      <c r="E258" s="69" t="inlineStr">
        <is>
          <t>PROPUESTA</t>
        </is>
      </c>
      <c r="F258" s="69" t="inlineStr">
        <is>
          <t>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is>
      </c>
    </row>
    <row r="259">
      <c r="A259" s="67" t="inlineStr">
        <is>
          <t>DEC-018</t>
        </is>
      </c>
      <c r="B259" s="68" t="inlineStr">
        <is>
          <t>Propuesta</t>
        </is>
      </c>
      <c r="C259" s="68" t="n"/>
      <c r="D259" s="69" t="inlineStr">
        <is>
          <t>Configuración jerárquica en cascada</t>
        </is>
      </c>
      <c r="E259" s="69" t="inlineStr">
        <is>
          <t>PROPUESTA</t>
        </is>
      </c>
      <c r="F259" s="69" t="inlineStr">
        <is>
          <t>B, con dos condiciones no negociables: la interfaz debe mostrar siempre de dónde viene el valor efectivo, y los secretos se cifran por entidad y nunca se heredan. — La configuración deja de ser global: hay ajustes de plataforma, de marca, de entidad legal y de (entidad × país).</t>
        </is>
      </c>
    </row>
    <row r="260">
      <c r="A260" s="67" t="inlineStr">
        <is>
          <t>DEC-017</t>
        </is>
      </c>
      <c r="B260" s="68" t="inlineStr">
        <is>
          <t>Propuesta</t>
        </is>
      </c>
      <c r="C260" s="68" t="n"/>
      <c r="D260" s="69" t="inlineStr">
        <is>
          <t>Cobertura de facturación como relación N:M con vigencia</t>
        </is>
      </c>
      <c r="E260" s="69" t="inlineStr">
        <is>
          <t>PROPUESTA</t>
        </is>
      </c>
      <c r="F260" s="69" t="inlineStr">
        <is>
          <t>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is>
      </c>
    </row>
    <row r="261">
      <c r="A261" s="67" t="inlineStr">
        <is>
          <t>DEC-016</t>
        </is>
      </c>
      <c r="B261" s="68" t="inlineStr">
        <is>
          <t>Propuesta</t>
        </is>
      </c>
      <c r="C261" s="68" t="n"/>
      <c r="D261" s="69" t="inlineStr">
        <is>
          <t>Desambiguación de los conceptos organizacionales</t>
        </is>
      </c>
      <c r="E261" s="69" t="inlineStr">
        <is>
          <t>PROPUESTA</t>
        </is>
      </c>
      <c r="F261" s="69" t="inlineStr">
        <is>
          <t>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is>
      </c>
    </row>
    <row r="262">
      <c r="A262" s="67" t="inlineStr">
        <is>
          <t>DEC-015</t>
        </is>
      </c>
      <c r="B262" s="68" t="inlineStr">
        <is>
          <t>Propuesta</t>
        </is>
      </c>
      <c r="C262" s="68" t="n"/>
      <c r="D262" s="69" t="inlineStr">
        <is>
          <t>Retención y minimización de datos personales</t>
        </is>
      </c>
      <c r="E262" s="69" t="inlineStr">
        <is>
          <t>PROPUESTA — requiere validación legal</t>
        </is>
      </c>
      <c r="F262" s="69" t="inlineStr">
        <is>
          <t>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is>
      </c>
    </row>
    <row r="263">
      <c r="A263" s="67" t="inlineStr">
        <is>
          <t>DEC-014</t>
        </is>
      </c>
      <c r="B263" s="68" t="inlineStr">
        <is>
          <t>Propuesta</t>
        </is>
      </c>
      <c r="C263" s="68" t="n"/>
      <c r="D263" s="69" t="inlineStr">
        <is>
          <t>Modelo de derechos de uso del contenido</t>
        </is>
      </c>
      <c r="E263" s="69" t="inlineStr">
        <is>
          <t>PROPUESTA</t>
        </is>
      </c>
      <c r="F263" s="69" t="inlineStr">
        <is>
          <t>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is>
      </c>
    </row>
    <row r="264">
      <c r="A264" s="67" t="inlineStr">
        <is>
          <t>DEC-013</t>
        </is>
      </c>
      <c r="B264" s="68" t="inlineStr">
        <is>
          <t>Propuesta</t>
        </is>
      </c>
      <c r="C264" s="68" t="n"/>
      <c r="D264" s="69" t="inlineStr">
        <is>
          <t>Alcance del portal de la marca en el MVP</t>
        </is>
      </c>
      <c r="E264" s="69" t="inlineStr">
        <is>
          <t>PROPUESTA</t>
        </is>
      </c>
      <c r="F264" s="69" t="inlineStr">
        <is>
          <t>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is>
      </c>
    </row>
    <row r="265">
      <c r="A265" s="67" t="inlineStr">
        <is>
          <t>DEC-012</t>
        </is>
      </c>
      <c r="B265" s="68" t="inlineStr">
        <is>
          <t>Propuesta</t>
        </is>
      </c>
      <c r="C265" s="68" t="n"/>
      <c r="D265" s="69" t="inlineStr">
        <is>
          <t>Longitud del formulario de lead B2B</t>
        </is>
      </c>
      <c r="E265" s="69" t="inlineStr">
        <is>
          <t>PROPUESTA</t>
        </is>
      </c>
      <c r="F265" s="69" t="inlineStr">
        <is>
          <t>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is>
      </c>
    </row>
    <row r="266">
      <c r="A266" s="67" t="inlineStr">
        <is>
          <t>DEC-011</t>
        </is>
      </c>
      <c r="B266" s="68" t="inlineStr">
        <is>
          <t>Propuesta</t>
        </is>
      </c>
      <c r="C266" s="68" t="n"/>
      <c r="D266" s="69" t="inlineStr">
        <is>
          <t>¿La plataforma publica en las redes del creador?</t>
        </is>
      </c>
      <c r="E266" s="69" t="inlineStr">
        <is>
          <t>PROPUESTA</t>
        </is>
      </c>
      <c r="F266" s="69" t="inlineStr">
        <is>
          <t>B. A añade riesgo de cuenta, complejidad enorme y las APIs cambian sin aviso. La verificación posterior aporta casi todo el valor con una fracción del costo. — Publicar automáticamente requiere permisos amplios, es frágil y las plataformas lo restringen.</t>
        </is>
      </c>
    </row>
    <row r="267">
      <c r="A267" s="67" t="inlineStr">
        <is>
          <t>DEC-010</t>
        </is>
      </c>
      <c r="B267" s="68" t="inlineStr">
        <is>
          <t>Propuesta</t>
        </is>
      </c>
      <c r="C267" s="68" t="n"/>
      <c r="D267" s="69" t="inlineStr">
        <is>
          <t>Estado de campaña vs. estado de participación</t>
        </is>
      </c>
      <c r="E267" s="69" t="inlineStr">
        <is>
          <t>PROPUESTA</t>
        </is>
      </c>
      <c r="F267" s="69" t="inlineStr">
        <is>
          <t>B, obligatoriamente. A es el error de diseño más frecuente y más caro en plataformas de este tipo: obliga a hacks inmediatos y hace imposible el reporte de avance. — Una campaña live puede tener creadores aún en revisión.</t>
        </is>
      </c>
    </row>
    <row r="268">
      <c r="A268" s="67" t="inlineStr">
        <is>
          <t>DEC-009</t>
        </is>
      </c>
      <c r="B268" s="68" t="inlineStr">
        <is>
          <t>Propuesta</t>
        </is>
      </c>
      <c r="C268" s="68" t="n"/>
      <c r="D268" s="69" t="inlineStr">
        <is>
          <t>Origen de los datos de audiencia</t>
        </is>
      </c>
      <c r="E268" s="69" t="inlineStr">
        <is>
          <t>PROPUESTA</t>
        </is>
      </c>
      <c r="F268" s="69" t="inlineStr">
        <is>
          <t>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is>
      </c>
    </row>
    <row r="269">
      <c r="A269" s="67" t="inlineStr">
        <is>
          <t>DEC-008</t>
        </is>
      </c>
      <c r="B269" s="68" t="inlineStr">
        <is>
          <t>Propuesta</t>
        </is>
      </c>
      <c r="C269" s="68" t="n"/>
      <c r="D269" s="69" t="inlineStr">
        <is>
          <t>Almacenamiento de archivos</t>
        </is>
      </c>
      <c r="E269" s="69" t="inlineStr">
        <is>
          <t>PROPUESTA</t>
        </is>
      </c>
      <c r="F269" s="69" t="inlineStr">
        <is>
          <t>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is>
      </c>
    </row>
    <row r="270">
      <c r="A270" s="67" t="inlineStr">
        <is>
          <t>DEC-007</t>
        </is>
      </c>
      <c r="B270" s="68" t="inlineStr">
        <is>
          <t>Propuesta</t>
        </is>
      </c>
      <c r="C270" s="68" t="n"/>
      <c r="D270" s="69" t="inlineStr">
        <is>
          <t>Pasarela de pago (Culqi) en el MVP</t>
        </is>
      </c>
      <c r="E270" s="69" t="inlineStr">
        <is>
          <t>PROPUESTA</t>
        </is>
      </c>
      <c r="F270" s="69" t="inlineStr">
        <is>
          <t>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is>
      </c>
    </row>
    <row r="271">
      <c r="A271" s="67" t="inlineStr">
        <is>
          <t>DEC-006</t>
        </is>
      </c>
      <c r="B271" s="68" t="inlineStr">
        <is>
          <t>Propuesta</t>
        </is>
      </c>
      <c r="C271" s="68" t="n"/>
      <c r="D271" s="69" t="inlineStr">
        <is>
          <t>Separación Aplicación vs. Creador</t>
        </is>
      </c>
      <c r="E271" s="69" t="inlineStr">
        <is>
          <t>PROPUESTA</t>
        </is>
      </c>
      <c r="F271" s="69" t="inlineStr">
        <is>
          <t>B. Permite reaplicaciones, conserva el histórico de rechazos y evita que un rechazo contamine la entidad permanente. — La spec mezcla el ciclo de vida de la solicitud con el del creador.</t>
        </is>
      </c>
    </row>
    <row r="272">
      <c r="A272" s="67" t="inlineStr">
        <is>
          <t>DEC-005</t>
        </is>
      </c>
      <c r="B272" s="68" t="inlineStr">
        <is>
          <t>Decidida</t>
        </is>
      </c>
      <c r="C272" s="68" t="n"/>
      <c r="D272" s="69" t="inlineStr">
        <is>
          <t>Régimen legal y tributario del pago al creador ✅ RESUELTA (parcial)</t>
        </is>
      </c>
      <c r="E272" s="69" t="inlineStr">
        <is>
          <t>✅ APROBADA para creadores peruanos · 🔴 Q-33 abierta para extranjeros (bloquea F9 solo en ese caso)</t>
        </is>
      </c>
      <c r="F272" s="69" t="inlineStr">
        <is>
          <t>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is>
      </c>
    </row>
    <row r="273">
      <c r="A273" s="67" t="inlineStr">
        <is>
          <t>DEC-004</t>
        </is>
      </c>
      <c r="B273" s="68" t="inlineStr">
        <is>
          <t>Propuesta</t>
        </is>
      </c>
      <c r="C273" s="68" t="n"/>
      <c r="D273" s="69" t="inlineStr">
        <is>
          <t>Modelo económico: principal vs. comisión</t>
        </is>
      </c>
      <c r="E273" s="69" t="inlineStr">
        <is>
          <t>PROPUESTA — confirmar con el contador</t>
        </is>
      </c>
      <c r="F273" s="69" t="inlineStr">
        <is>
          <t>A, coherente con §53 de la especificación (Revenue − Creator Cost = Margen). Determina el modelo fiscal, contable y financiero completo. — ¿El operador vende la campaña y compra el contenido (reventa), o cobra una comisión sobre una transacción entre marca y creador?</t>
        </is>
      </c>
    </row>
    <row r="274">
      <c r="A274" s="67" t="inlineStr">
        <is>
          <t>DEC-003</t>
        </is>
      </c>
      <c r="B274" s="68" t="inlineStr">
        <is>
          <t>Propuesta</t>
        </is>
      </c>
      <c r="C274" s="68" t="n"/>
      <c r="D274" s="69" t="inlineStr">
        <is>
          <t>Estrategia de frontend</t>
        </is>
      </c>
      <c r="E274" s="69" t="inlineStr">
        <is>
          <t>PROPUESTA</t>
        </is>
      </c>
      <c r="F274" s="69" t="inlineStr">
        <is>
          <t>A. B duplica el trabajo y, sobre todo, duplica la autorización —el punto donde este sistema más se puede romper—. El portal del creador se entrega como PWA instalable con A. — Cuatro portales con necesidades distintas. Equipo pequeño.</t>
        </is>
      </c>
    </row>
    <row r="275">
      <c r="A275" s="67" t="inlineStr">
        <is>
          <t>DEC-002</t>
        </is>
      </c>
      <c r="B275" s="68" t="inlineStr">
        <is>
          <t>Decidida</t>
        </is>
      </c>
      <c r="C275" s="68" t="n"/>
      <c r="D275" s="69" t="inlineStr">
        <is>
          <t>Multitenancy ✅ RESUELTA</t>
        </is>
      </c>
      <c r="E275" s="69" t="inlineStr">
        <is>
          <t>✅ APROBADA (decisión del negocio, 2026-08-21)</t>
        </is>
      </c>
      <c r="F275" s="69" t="inlineStr">
        <is>
          <t xml:space="preserve"> — Hoy hay un solo operador. La spec contempla agencias y white-label a futuro (§78).</t>
        </is>
      </c>
    </row>
    <row r="276">
      <c r="A276" s="67" t="inlineStr">
        <is>
          <t>DEC-001</t>
        </is>
      </c>
      <c r="B276" s="68" t="inlineStr">
        <is>
          <t>Decidida</t>
        </is>
      </c>
      <c r="C276" s="68" t="n"/>
      <c r="D276" s="69" t="inlineStr">
        <is>
          <t>Framework PHP</t>
        </is>
      </c>
      <c r="E276" s="69" t="inlineStr">
        <is>
          <t>✅ APROBADA (2026-08-22). Proyecto creado: ver tools/bootstrap-laravel.ps1 y CONTRIBUTING.md</t>
        </is>
      </c>
      <c r="F276" s="69" t="inlineStr">
        <is>
          <t>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is>
      </c>
    </row>
    <row r="277">
      <c r="A277" s="67" t="inlineStr">
        <is>
          <t>DEC-000</t>
        </is>
      </c>
      <c r="B277" s="68" t="inlineStr">
        <is>
          <t>Decidida</t>
        </is>
      </c>
      <c r="C277" s="68" t="n"/>
      <c r="D277" s="69" t="inlineStr">
        <is>
          <t>Nombre del producto y dominio ✅ RESUELTA</t>
        </is>
      </c>
      <c r="E277" s="69" t="inlineStr">
        <is>
          <t>✅ APROBADA (addendum 2026-08-21)</t>
        </is>
      </c>
      <c r="F277" s="69" t="inlineStr">
        <is>
          <t>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is>
      </c>
    </row>
  </sheetData>
  <autoFilter ref="A2:F201"/>
  <mergeCells count="1">
    <mergeCell ref="A1:F1"/>
  </mergeCells>
  <conditionalFormatting sqref="B3:B201">
    <cfRule type="cellIs" rank="0" priority="2" equalAverage="0" operator="equal" aboveAverage="0" dxfId="20" text="" percent="0" bottom="0">
      <formula>"Decidida"</formula>
    </cfRule>
    <cfRule type="cellIs" rank="0" priority="3" equalAverage="0" operator="equal" aboveAverage="0" dxfId="21" text="" percent="0" bottom="0">
      <formula>"Propuesta"</formula>
    </cfRule>
  </conditionalFormatting>
  <conditionalFormatting sqref="C3:C201">
    <cfRule type="cellIs" rank="0" priority="4" equalAverage="0" operator="equal" aboveAverage="0" dxfId="19" text="" percent="0" bottom="0">
      <formula>"Critica"</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2026-08-26T14:05:21Z</dcterms:created>
  <dcterms:modified xmlns:dcterms="http://purl.org/dc/terms/" xmlns:xsi="http://www.w3.org/2001/XMLSchema-instance" xsi:type="dcterms:W3CDTF">2026-09-02T06:32:18Z</dcterms:modified>
  <cp:revision>0</cp:revision>
</cp:coreProperties>
</file>