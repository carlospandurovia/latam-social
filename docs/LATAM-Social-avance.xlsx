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s>
  <definedNames>
    <definedName function="false" hidden="true" localSheetId="2" name="_xlnm._FilterDatabase" vbProcedure="false">Actividades!$A$1:$J$164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<sst xmlns="http://schemas.openxmlformats.org/spreadsheetml/2006/main" count="1184" uniqueCount="505">
  <si>
    <t xml:space="preserve">LATAM Social - avance del alcance completo</t>
  </si>
  <si>
    <t xml:space="preserve">Cifras al 2026-08-26. El estado de cada actividad se cambia en la hoja «Actividades»; todo lo de aqui se recalcula solo.</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</si>
  <si>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</si>
  <si>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</si>
  <si>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</si>
  <si>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</si>
  <si>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</si>
  <si>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</si>
  <si>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</si>
  <si>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</si>
  <si>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</si>
  <si>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</si>
  <si>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</si>
  <si>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</si>
  <si>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</si>
  <si>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</si>
  <si>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</si>
  <si>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</si>
  <si>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</si>
  <si>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</si>
  <si>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</si>
  <si>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</si>
  <si>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</si>
  <si>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</si>
  <si>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</si>
  <si>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</si>
  <si>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</si>
  <si>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</si>
  <si>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</si>
  <si>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</si>
  <si>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</si>
  <si>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</si>
  <si>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</si>
  <si>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</si>
  <si>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</si>
  <si>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</si>
  <si>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</si>
  <si>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</si>
  <si>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</si>
  <si>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</si>
  <si>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</si>
  <si>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</si>
  <si>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</si>
  <si>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</si>
  <si>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</si>
  <si>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</si>
  <si>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</si>
  <si>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</si>
  <si>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</si>
  <si>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</si>
  <si>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</si>
  <si>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</si>
  <si>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</si>
  <si>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</si>
  <si>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</si>
  <si>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</si>
  <si>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</si>
  <si>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</si>
  <si>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</si>
  <si>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</si>
  <si>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</si>
  <si>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</si>
  <si>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</si>
  <si>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</si>
  <si>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</si>
  <si>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</si>
  <si>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</si>
  <si>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</si>
  <si>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</si>
  <si>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</si>
  <si>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</si>
  <si>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</si>
  <si>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</si>
  <si>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</si>
  <si>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</si>
  <si>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</si>
  <si>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</si>
  <si>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</si>
  <si>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</si>
  <si>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</si>
  <si>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</si>
  <si>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</si>
  <si>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</si>
  <si>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</si>
  <si>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</si>
  <si>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</si>
  <si>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</si>
  <si>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</si>
  <si>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</si>
  <si>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</si>
  <si>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</si>
  <si>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</si>
  <si>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</si>
  <si>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</si>
  <si>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</si>
  <si>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</si>
  <si>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</si>
  <si>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</si>
  <si>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</si>
  <si>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</si>
  <si>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</si>
  <si>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</si>
  <si>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</si>
  <si>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</si>
  <si>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</si>
  <si>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</si>
  <si>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</si>
  <si>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</si>
  <si>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</si>
  <si>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</si>
  <si>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</si>
  <si>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</si>
  <si>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</si>
  <si>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</si>
  <si>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</si>
  <si>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</si>
  <si>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</si>
  <si>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</si>
  <si>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</si>
  <si>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</si>
  <si>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</si>
  <si>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</si>
  <si>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</si>
  <si>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</si>
  <si>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</si>
  <si>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</si>
  <si>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</si>
  <si>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</si>
  <si>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</si>
  <si>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</si>
  <si>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</si>
  <si>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</si>
  <si>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</si>
  <si>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</si>
  <si>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</si>
  <si>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</si>
  <si>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</si>
  <si>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</si>
  <si>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</si>
  <si>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</si>
  <si>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</si>
  <si>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</si>
  <si>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</si>
  <si>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</si>
  <si>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</si>
  <si>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</si>
  <si>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</si>
  <si>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</si>
  <si>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</si>
  <si>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</si>
  <si>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design/tokens.css + docs/14. Queda validar la tipografia (Q-29)</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</si>
  <si>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</si>
  <si>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</si>
  <si>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</si>
  <si>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</si>
  <si>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</si>
  <si>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</si>
  <si>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</si>
  <si>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</si>
  <si>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</si>
  <si>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</si>
  <si>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</si>
  <si>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</si>
  <si>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</si>
  <si>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</si>
  <si>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</si>
  <si>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</si>
  <si>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</si>
  <si>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Login, logout, cambio obligatorio de contrasena (T-23) y comando de reposicion. FALTA recuperacion por correo y verificacion de email: dependen de F4.9</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</si>
  <si>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</si>
  <si>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</si>
  <si>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</si>
  <si>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</si>
  <si>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</si>
  <si>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</si>
  <si>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</si>
  <si>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</si>
  <si>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</si>
  <si>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</si>
  <si>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</si>
  <si>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</si>
  <si>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</si>
  <si>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</si>
  <si>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</si>
  <si>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</si>
  <si>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</si>
  <si>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</si>
  <si>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</si>
  <si>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</si>
  <si>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</si>
  <si>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</si>
  <si>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</si>
  <si>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</si>
  <si>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</si>
  <si>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</si>
  <si>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</si>
  <si>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</si>
  <si>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</si>
  <si>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Las tablas jobs existen (esqueleto de Laravel); no hay ni un job propio</t>
  </si>
  <si>
    <t xml:space="preserve">4.9</t>
  </si>
  <si>
    <t xml:space="preserve">Email: plantillas en BD con idioma/version/variables + Email Log + reintentos</t>
  </si>
  <si>
    <t xml:space="preserve">Bloquea 4.1 (recuperacion), 5.9 (enlace de contrasena) y T-10</t>
  </si>
  <si>
    <t xml:space="preserve">4.10</t>
  </si>
  <si>
    <t xml:space="preserve">Notification Center in-app + preferencias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</si>
  <si>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</si>
  <si>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</si>
  <si>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</si>
  <si>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</si>
  <si>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</si>
  <si>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</si>
  <si>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</si>
  <si>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</si>
  <si>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</si>
  <si>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</si>
  <si>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</si>
  <si>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</si>
  <si>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</si>
  <si>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</si>
  <si>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</si>
  <si>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</si>
  <si>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</si>
  <si>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</si>
  <si>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</si>
  <si>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</si>
  <si>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</si>
  <si>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</si>
  <si>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</si>
  <si>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</si>
  <si>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</si>
  <si>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</si>
  <si>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</si>
  <si>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</si>
  <si>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</si>
  <si>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</si>
  <si>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</si>
  <si>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</si>
  <si>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</si>
  <si>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</si>
  <si>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El usuario se crea por comando con contrasena temporal y cambio obligatorio. El enlace por correo depende de 4.9</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</si>
  <si>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</si>
  <si>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</si>
  <si>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</si>
  <si>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</si>
  <si>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</si>
  <si>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</si>
  <si>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</si>
  <si>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</si>
  <si>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</si>
  <si>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</si>
  <si>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</si>
  <si>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</si>
  <si>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</si>
  <si>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</si>
  <si>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</si>
  <si>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</si>
  <si>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</si>
  <si>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</si>
  <si>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</si>
  <si>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</si>
  <si>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</si>
  <si>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</si>
  <si>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</si>
  <si>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</si>
  <si>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</si>
  <si>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</si>
  <si>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</si>
  <si>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</si>
  <si>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</si>
  <si>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</si>
  <si>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</si>
  <si>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</si>
  <si>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</si>
  <si>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</si>
  <si>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</si>
  <si>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</si>
  <si>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</si>
  <si>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</si>
  <si>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</si>
  <si>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</si>
  <si>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</si>
  <si>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</si>
  <si>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</si>
  <si>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</si>
  <si>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7.4 escribio la primera fila de campaign_creators y la protegio; falta el compromiso economico</t>
  </si>
  <si>
    <t xml:space="preserve">7.6</t>
  </si>
  <si>
    <t xml:space="preserve">Invitaciones: envio, expiracion, aceptacion, rechazo con motivo, preguntas</t>
  </si>
  <si>
    <t xml:space="preserve">Tabla invitations lista. El envio depende de 4.9</t>
  </si>
  <si>
    <t xml:space="preserve">7.7</t>
  </si>
  <si>
    <t xml:space="preserve">Panel de seguimiento de la campana (quien va en que estado)</t>
  </si>
  <si>
    <t xml:space="preserve">La pantalla mas usada del sistema, segun el roadmap</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</si>
  <si>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</si>
  <si>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</si>
  <si>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</si>
  <si>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</si>
  <si>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</si>
  <si>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</si>
  <si>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</si>
  <si>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</si>
  <si>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</si>
  <si>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</si>
  <si>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</si>
  <si>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</si>
  <si>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</si>
  <si>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</si>
  <si>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</si>
  <si>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Tablas deliverables y deliverable_versions disenadas en 2.12</t>
  </si>
  <si>
    <t xml:space="preserve">8.2</t>
  </si>
  <si>
    <t xml:space="preserve">Versionado append-only + puntero de version actual</t>
  </si>
  <si>
    <t xml:space="preserve">Disenado en 2.12</t>
  </si>
  <si>
    <t xml:space="preserve">8.3</t>
  </si>
  <si>
    <t xml:space="preserve">Cola de revision interna + comentarios por version + solicitud de correccion</t>
  </si>
  <si>
    <t xml:space="preserve">8.4</t>
  </si>
  <si>
    <t xml:space="preserve">Aprobacion interna y limite de rondas</t>
  </si>
  <si>
    <t xml:space="preserve">included_revision_rounds ya se guarda en la campana</t>
  </si>
  <si>
    <t xml:space="preserve">8.5</t>
  </si>
  <si>
    <t xml:space="preserve">Aprobacion del cliente por enlace firmado (sin portal completo)</t>
  </si>
  <si>
    <t xml:space="preserve">8.6</t>
  </si>
  <si>
    <t xml:space="preserve">Programacion y registro de publicacion (URL)</t>
  </si>
  <si>
    <t xml:space="preserve">8.7</t>
  </si>
  <si>
    <t xml:space="preserve">Verificacion de publicacion + archivado de evidencia</t>
  </si>
  <si>
    <t xml:space="preserve">Tabla publication_evidence disenada</t>
  </si>
  <si>
    <t xml:space="preserve">8.8</t>
  </si>
  <si>
    <t xml:space="preserve">Control de permanencia minima del post</t>
  </si>
  <si>
    <t xml:space="preserve">permanence_days ya se pide en el brief (7.2) y tiene tope desde 7.3</t>
  </si>
  <si>
    <t xml:space="preserve">8.9</t>
  </si>
  <si>
    <t xml:space="preserve">Hilos de mensajes creador &lt;-&gt; equipo por campana</t>
  </si>
  <si>
    <t xml:space="preserve">8.10</t>
  </si>
  <si>
    <t xml:space="preserve">Derechos de uso: alcance, territorio, canales, exclusividad, vigencia</t>
  </si>
  <si>
    <t xml:space="preserve">8.11</t>
  </si>
  <si>
    <t xml:space="preserve">9.1</t>
  </si>
  <si>
    <t xml:space="preserve">Monedas, tipo de cambio con historial y proveedor configurable</t>
  </si>
  <si>
    <t xml:space="preserve">Tablas currencies y exchange_rates existen y estan sembradas. El proveedor configurable depende de 4.6b</t>
  </si>
  <si>
    <t xml:space="preserve">9.2</t>
  </si>
  <si>
    <t xml:space="preserve">Ledger append-only del creador + estados de asiento</t>
  </si>
  <si>
    <t xml:space="preserve">Tabla ledger_entries disenada en 2.13</t>
  </si>
  <si>
    <t xml:space="preserve">9.3</t>
  </si>
  <si>
    <t xml:space="preserve">Devengo automatico por eventos de campana</t>
  </si>
  <si>
    <t xml:space="preserve">9.4</t>
  </si>
  <si>
    <t xml:space="preserve">Aprobacion de ganancias, ajustes, bonos, retenciones</t>
  </si>
  <si>
    <t xml:space="preserve">Retenciones disenadas en 2.15</t>
  </si>
  <si>
    <t xml:space="preserve">9.5</t>
  </si>
  <si>
    <t xml:space="preserve">Requisitos documentales por pais/regimen</t>
  </si>
  <si>
    <t xml:space="preserve">BLOQUEADA por Q-40 (tasa de retencion a no domiciliados): pregunta para el contador</t>
  </si>
  <si>
    <t xml:space="preserve">9.6</t>
  </si>
  <si>
    <t xml:space="preserve">Lotes de pago: generacion, aprobacion (doble control sobre umbral), exportacion bancaria</t>
  </si>
  <si>
    <t xml:space="preserve">Tablas payout_batches y payouts disenadas</t>
  </si>
  <si>
    <t xml:space="preserve">9.7</t>
  </si>
  <si>
    <t xml:space="preserve">Registro de pago, comprobante, notificacion al creador</t>
  </si>
  <si>
    <t xml:space="preserve">9.8</t>
  </si>
  <si>
    <t xml:space="preserve">Vista Mis ingresos en el portal del creador</t>
  </si>
  <si>
    <t xml:space="preserve">Depende de F6</t>
  </si>
  <si>
    <t xml:space="preserve">9.9</t>
  </si>
  <si>
    <t xml:space="preserve">Facturacion al cliente emitida desde la entidad legal</t>
  </si>
  <si>
    <t xml:space="preserve">BLOQUEADA por Q-44 (exportacion de servicios vs IGV 18%): pregunta para el contador</t>
  </si>
  <si>
    <t xml:space="preserve">9.10</t>
  </si>
  <si>
    <t xml:space="preserve">Rentabilidad por campana (P&amp;L interno) y por sociedad, con acceso estricto</t>
  </si>
  <si>
    <t xml:space="preserve">Nunca mostrar el margen interno a clientes ni creadores</t>
  </si>
  <si>
    <t xml:space="preserve">9.11</t>
  </si>
  <si>
    <t xml:space="preserve">Bloqueo de billing_legal_entity distinto de settlement_legal_entity en el MVP</t>
  </si>
  <si>
    <t xml:space="preserve">DEC-020, BR-LE-009</t>
  </si>
  <si>
    <t xml:space="preserve">9.12</t>
  </si>
  <si>
    <t xml:space="preserve">Series y numeracion correlativa por entidad legal, con bloqueo y pruebas de concurrencia</t>
  </si>
  <si>
    <t xml:space="preserve">Tabla document_series disenada. El aparato de pruebas de concurrencia ya existe (4.11)</t>
  </si>
  <si>
    <t xml:space="preserve">9.13</t>
  </si>
  <si>
    <t xml:space="preserve">Matriz de propositos obligatorios por pais + bloqueo de activacion sin cobertura</t>
  </si>
  <si>
    <t xml:space="preserve">Depende de 4.6b</t>
  </si>
  <si>
    <t xml:space="preserve">9.14</t>
  </si>
  <si>
    <t xml:space="preserve">QA de fase + auditoria de seguridad especifica de finanzas</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</si>
  <si>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</si>
  <si>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</si>
  <si>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</si>
  <si>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</si>
  <si>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</si>
  <si>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</si>
  <si>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</si>
  <si>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</si>
  <si>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</si>
  <si>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</si>
  <si>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</si>
  <si>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</si>
  <si>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</si>
  <si>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</si>
  <si>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</si>
  <si>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</si>
  <si>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</si>
  <si>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</si>
  <si>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</si>
  <si>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</si>
  <si>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</si>
  <si>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</si>
  <si>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</si>
  <si>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</si>
  <si>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</si>
  <si>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</si>
  <si>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</si>
  <si>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</si>
  <si>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</si>
  <si>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</si>
  <si>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</si>
  <si>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</si>
  <si>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</si>
  <si>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</si>
  <si>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</si>
  <si>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</si>
  <si>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</si>
  <si>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</si>
  <si>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</si>
  <si>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</si>
  <si>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</si>
  <si>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</si>
  <si>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</si>
  <si>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</si>
  <si>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</si>
  <si>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</si>
  <si>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</si>
  <si>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</si>
  <si>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</si>
  <si>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</si>
  <si>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</si>
  <si>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</si>
  <si>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</si>
  <si>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</si>
  <si>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</si>
  <si>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</si>
  <si>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</si>
  <si>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</si>
  <si>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</si>
  <si>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</si>
  <si>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</si>
  <si>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</si>
  <si>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</si>
  <si>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</si>
  <si>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</si>
  <si>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</si>
  <si>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</si>
  <si>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</si>
  <si>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</si>
  <si>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</si>
  <si>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</si>
  <si>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</si>
  <si>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</si>
  <si>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</si>
  <si>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</si>
  <si>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</si>
  <si>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</si>
  <si>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</si>
  <si>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</si>
  <si>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</si>
  <si>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</si>
  <si>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</si>
  <si>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</si>
  <si>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</si>
  <si>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</si>
  <si>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</si>
  <si>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</si>
  <si>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</si>
  <si>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14.8</t>
  </si>
  <si>
    <t xml:space="preserve">Insignias y Academia del creador</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</si>
  <si>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</si>
  <si>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</si>
  <si>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</si>
  <si>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</si>
  <si>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</si>
  <si>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</si>
  <si>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</si>
  <si>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</si>
  <si>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</si>
  <si>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</si>
  <si>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</si>
  <si>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</si>
  <si>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</si>
  <si>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</si>
  <si>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</si>
  <si>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</si>
  <si>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</si>
  <si>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</si>
  <si>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</si>
  <si>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</si>
  <si>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</si>
  <si>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</si>
  <si>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</si>
  <si>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</si>
  <si>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</si>
  <si>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</si>
  <si>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</si>
  <si>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</si>
  <si>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</si>
  <si>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</si>
  <si>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</si>
  <si>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</si>
  <si>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</si>
  <si>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</si>
  <si>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</si>
  <si>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</si>
  <si>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</si>
  <si>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</si>
  <si>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</si>
  <si>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</si>
  <si>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</si>
  <si>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</si>
  <si>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</si>
  <si>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17.5</t>
  </si>
  <si>
    <t xml:space="preserve">Documentacion final</t>
  </si>
  <si>
    <t xml:space="preserve">17.6</t>
  </si>
  <si>
    <t xml:space="preserve">Plan de soporte y de despliegue continuo</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</si>
</sst>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14" fillId="8"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0006"/>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16"/>
    <col collapsed="false" customWidth="true" hidden="false" outlineLevel="0" max="5"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15" hidden="false" customHeight="false" outlineLevel="0" collapsed="false">
      <c r="A5" s="4" t="s">
        <v>3</v>
      </c>
      <c r="B5" s="4" t="s">
        <v>4</v>
      </c>
    </row>
    <row r="6" customFormat="false" ht="15" hidden="false" customHeight="false" outlineLevel="0" collapsed="false">
      <c r="A6" s="0" t="s">
        <v>5</v>
      </c>
      <c r="B6" s="5" t="n">
        <f aca="false">IFERROR(SUMPRODUCT(Actividades!$H$2:$H$164,Actividades!$I$2:$I$164)/SUM(Actividades!$I$2:$I$164),0)</f>
        <v>0.216049382716049</v>
      </c>
    </row>
    <row r="7" customFormat="false" ht="15" hidden="false" customHeight="false" outlineLevel="0" collapsed="false">
      <c r="A7" s="0" t="s">
        <v>6</v>
      </c>
      <c r="B7" s="5" t="n">
        <f aca="false">IFERROR(SUMPRODUCT($B$22:$B$25,$C$22:$C$25)/SUM($C$22:$C$25),0)</f>
        <v>0.167426166208648</v>
      </c>
    </row>
    <row r="8" customFormat="false" ht="15" hidden="false" customHeight="false" outlineLevel="0" collapsed="false">
      <c r="A8" s="0" t="s">
        <v>7</v>
      </c>
      <c r="B8" s="6" t="n">
        <f aca="false">COUNTA(Actividades!$A$2:$A$164)</f>
        <v>163</v>
      </c>
    </row>
    <row r="9" customFormat="false" ht="15" hidden="false" customHeight="false" outlineLevel="0" collapsed="false">
      <c r="A9" s="0" t="s">
        <v>8</v>
      </c>
      <c r="B9" s="6" t="n">
        <f aca="false">SUM(Actividades!$I$2:$I$164)</f>
        <v>162</v>
      </c>
    </row>
    <row r="11" customFormat="false" ht="17.35" hidden="false" customHeight="false" outlineLevel="0" collapsed="false">
      <c r="A11" s="3" t="s">
        <v>9</v>
      </c>
    </row>
    <row r="12" customFormat="false" ht="15" hidden="false" customHeight="false" outlineLevel="0" collapsed="false">
      <c r="A12" s="4" t="s">
        <v>10</v>
      </c>
      <c r="B12" s="4" t="s">
        <v>11</v>
      </c>
      <c r="C12" s="4" t="s">
        <v>12</v>
      </c>
    </row>
    <row r="13" customFormat="false" ht="15" hidden="false" customHeight="false" outlineLevel="0" collapsed="false">
      <c r="A13" s="7" t="s">
        <v>13</v>
      </c>
      <c r="B13" s="8" t="n">
        <f aca="false">COUNTIF(Actividades!$G$2:$G$164,$A13)</f>
        <v>27</v>
      </c>
      <c r="C13" s="9" t="n">
        <f aca="false">IFERROR($B13/COUNTA(Actividades!$A$2:$A$164),0)</f>
        <v>0.165644171779141</v>
      </c>
    </row>
    <row r="14" customFormat="false" ht="15" hidden="false" customHeight="false" outlineLevel="0" collapsed="false">
      <c r="A14" s="10" t="s">
        <v>14</v>
      </c>
      <c r="B14" s="8" t="n">
        <f aca="false">COUNTIF(Actividades!$G$2:$G$164,$A14)</f>
        <v>16</v>
      </c>
      <c r="C14" s="9" t="n">
        <f aca="false">IFERROR($B14/COUNTA(Actividades!$A$2:$A$164),0)</f>
        <v>0.098159509202454</v>
      </c>
    </row>
    <row r="15" customFormat="false" ht="15" hidden="false" customHeight="false" outlineLevel="0" collapsed="false">
      <c r="A15" s="11" t="s">
        <v>15</v>
      </c>
      <c r="B15" s="8" t="n">
        <f aca="false">COUNTIF(Actividades!$G$2:$G$164,$A15)</f>
        <v>117</v>
      </c>
      <c r="C15" s="9" t="n">
        <f aca="false">IFERROR($B15/COUNTA(Actividades!$A$2:$A$164),0)</f>
        <v>0.717791411042945</v>
      </c>
    </row>
    <row r="16" customFormat="false" ht="15" hidden="false" customHeight="false" outlineLevel="0" collapsed="false">
      <c r="A16" s="12" t="s">
        <v>16</v>
      </c>
      <c r="B16" s="8" t="n">
        <f aca="false">COUNTIF(Actividades!$G$2:$G$164,$A16)</f>
        <v>2</v>
      </c>
      <c r="C16" s="9" t="n">
        <f aca="false">IFERROR($B16/COUNTA(Actividades!$A$2:$A$164),0)</f>
        <v>0.0122699386503067</v>
      </c>
    </row>
    <row r="17" customFormat="false" ht="15" hidden="false" customHeight="false" outlineLevel="0" collapsed="false">
      <c r="A17" s="13" t="s">
        <v>17</v>
      </c>
      <c r="B17" s="8" t="n">
        <f aca="false">COUNTIF(Actividades!$G$2:$G$164,$A17)</f>
        <v>1</v>
      </c>
      <c r="C17" s="9" t="n">
        <f aca="false">IFERROR($B17/COUNTA(Actividades!$A$2:$A$164),0)</f>
        <v>0.00613496932515337</v>
      </c>
    </row>
    <row r="18" customFormat="false" ht="15" hidden="false" customHeight="false" outlineLevel="0" collapsed="false">
      <c r="A18" s="14" t="s">
        <v>18</v>
      </c>
      <c r="B18" s="8" t="n">
        <f aca="false">COUNTIF(Actividades!$G$2:$G$164,$A18)</f>
        <v>0</v>
      </c>
      <c r="C18" s="9" t="n">
        <f aca="false">IFERROR($B18/COUNTA(Actividades!$A$2:$A$164),0)</f>
        <v>0</v>
      </c>
    </row>
    <row r="20" customFormat="false" ht="17.35" hidden="false" customHeight="false" outlineLevel="0" collapsed="false">
      <c r="A20" s="3" t="s">
        <v>19</v>
      </c>
    </row>
    <row r="21" customFormat="false" ht="15" hidden="false" customHeight="false" outlineLevel="0" collapsed="false">
      <c r="A21" s="4" t="s">
        <v>20</v>
      </c>
      <c r="B21" s="4" t="s">
        <v>21</v>
      </c>
      <c r="C21" s="4" t="s">
        <v>22</v>
      </c>
      <c r="D21" s="4" t="s">
        <v>23</v>
      </c>
      <c r="E21" s="4" t="s">
        <v>24</v>
      </c>
    </row>
    <row r="22" customFormat="false" ht="15" hidden="false" customHeight="false" outlineLevel="0" collapsed="false">
      <c r="A22" s="0" t="s">
        <v>25</v>
      </c>
      <c r="B22" s="9" t="n">
        <f aca="false">IFERROR(SUMPRODUCT((Actividades!$B$2:$B$164=$A22)*Actividades!$H$2:$H$164*Actividades!$I$2:$I$164)/SUMPRODUCT((Actividades!$B$2:$B$164=$A22)*Actividades!$I$2:$I$164),0)</f>
        <v>0.578947368421053</v>
      </c>
      <c r="C22" s="0" t="n">
        <v>8.5</v>
      </c>
      <c r="D22" s="8" t="n">
        <f aca="false">COUNTIF(Actividades!$B$2:$B$164,$A22)</f>
        <v>39</v>
      </c>
      <c r="E22" s="8" t="n">
        <f aca="false">SUMPRODUCT((Actividades!$B$2:$B$164=$A22)*(Actividades!$G$2:$G$164="Terminado"))</f>
        <v>18</v>
      </c>
    </row>
    <row r="23" customFormat="false" ht="15" hidden="false" customHeight="false" outlineLevel="0" collapsed="false">
      <c r="A23" s="0" t="s">
        <v>26</v>
      </c>
      <c r="B23" s="9" t="n">
        <f aca="false">IFERROR(SUMPRODUCT((Actividades!$B$2:$B$164=$A23)*Actividades!$H$2:$H$164*Actividades!$I$2:$I$164)/SUMPRODUCT((Actividades!$B$2:$B$164=$A23)*Actividades!$I$2:$I$164),0)</f>
        <v>0.176470588235294</v>
      </c>
      <c r="C23" s="0" t="n">
        <v>12</v>
      </c>
      <c r="D23" s="8" t="n">
        <f aca="false">COUNTIF(Actividades!$B$2:$B$164,$A23)</f>
        <v>68</v>
      </c>
      <c r="E23" s="8" t="n">
        <f aca="false">SUMPRODUCT((Actividades!$B$2:$B$164=$A23)*(Actividades!$G$2:$G$164="Terminado"))</f>
        <v>8</v>
      </c>
    </row>
    <row r="24" customFormat="false" ht="15" hidden="false" customHeight="false" outlineLevel="0" collapsed="false">
      <c r="A24" s="0" t="s">
        <v>27</v>
      </c>
      <c r="B24" s="9" t="n">
        <f aca="false">IFERROR(SUMPRODUCT((Actividades!$B$2:$B$164=$A24)*Actividades!$H$2:$H$164*Actividades!$I$2:$I$164)/SUMPRODUCT((Actividades!$B$2:$B$164=$A24)*Actividades!$I$2:$I$164),0)</f>
        <v>0.0294117647058824</v>
      </c>
      <c r="C24" s="0" t="n">
        <v>14</v>
      </c>
      <c r="D24" s="8" t="n">
        <f aca="false">COUNTIF(Actividades!$B$2:$B$164,$A24)</f>
        <v>34</v>
      </c>
      <c r="E24" s="8" t="n">
        <f aca="false">SUMPRODUCT((Actividades!$B$2:$B$164=$A24)*(Actividades!$G$2:$G$164="Terminado"))</f>
        <v>1</v>
      </c>
    </row>
    <row r="25" customFormat="false" ht="15" hidden="false" customHeight="false" outlineLevel="0" collapsed="false">
      <c r="A25" s="0" t="s">
        <v>28</v>
      </c>
      <c r="B25" s="9" t="n">
        <f aca="false">IFERROR(SUMPRODUCT((Actividades!$B$2:$B$164=$A25)*Actividades!$H$2:$H$164*Actividades!$I$2:$I$164)/SUMPRODUCT((Actividades!$B$2:$B$164=$A25)*Actividades!$I$2:$I$164),0)</f>
        <v>0</v>
      </c>
      <c r="C25" s="0" t="n">
        <v>10</v>
      </c>
      <c r="D25" s="8" t="n">
        <f aca="false">COUNTIF(Actividades!$B$2:$B$164,$A25)</f>
        <v>22</v>
      </c>
      <c r="E25" s="8" t="n">
        <f aca="false">SUMPRODUCT((Actividades!$B$2:$B$164=$A25)*(Actividades!$G$2:$G$164="Terminado"))</f>
        <v>0</v>
      </c>
    </row>
    <row r="27" customFormat="false" ht="17.35" hidden="false" customHeight="false" outlineLevel="0" collapsed="false">
      <c r="A27" s="3" t="s">
        <v>29</v>
      </c>
    </row>
    <row r="28" customFormat="false" ht="15" hidden="false" customHeight="false" outlineLevel="0" collapsed="false">
      <c r="A28" s="4" t="s">
        <v>30</v>
      </c>
      <c r="B28" s="4" t="s">
        <v>31</v>
      </c>
      <c r="C28" s="4" t="s">
        <v>21</v>
      </c>
      <c r="D28" s="4" t="s">
        <v>23</v>
      </c>
      <c r="E28" s="4" t="s">
        <v>24</v>
      </c>
    </row>
    <row r="29" customFormat="false" ht="15" hidden="false" customHeight="false" outlineLevel="0" collapsed="false">
      <c r="A29" s="0" t="s">
        <v>32</v>
      </c>
      <c r="B29" s="0" t="s">
        <v>33</v>
      </c>
      <c r="C29" s="9" t="n">
        <f aca="false">IFERROR(SUMPRODUCT((Actividades!$C$2:$C$164=$A29)*Actividades!$H$2:$H$164*Actividades!$I$2:$I$164)/SUMPRODUCT((Actividades!$C$2:$C$164=$A29)*Actividades!$I$2:$I$164),0)</f>
        <v>1</v>
      </c>
      <c r="D29" s="8" t="n">
        <f aca="false">COUNTIF(Actividades!$C$2:$C$164,$A29)</f>
        <v>1</v>
      </c>
      <c r="E29" s="8" t="n">
        <f aca="false">SUMPRODUCT((Actividades!$C$2:$C$164=$A29)*(Actividades!$G$2:$G$164="Terminado"))</f>
        <v>1</v>
      </c>
    </row>
    <row r="30" customFormat="false" ht="15" hidden="false" customHeight="false" outlineLevel="0" collapsed="false">
      <c r="A30" s="0" t="s">
        <v>34</v>
      </c>
      <c r="B30" s="0" t="s">
        <v>35</v>
      </c>
      <c r="C30" s="9" t="n">
        <f aca="false">IFERROR(SUMPRODUCT((Actividades!$C$2:$C$164=$A30)*Actividades!$H$2:$H$164*Actividades!$I$2:$I$164)/SUMPRODUCT((Actividades!$C$2:$C$164=$A30)*Actividades!$I$2:$I$164),0)</f>
        <v>0.875</v>
      </c>
      <c r="D30" s="8" t="n">
        <f aca="false">COUNTIF(Actividades!$C$2:$C$164,$A30)</f>
        <v>4</v>
      </c>
      <c r="E30" s="8" t="n">
        <f aca="false">SUMPRODUCT((Actividades!$C$2:$C$164=$A30)*(Actividades!$G$2:$G$164="Terminado"))</f>
        <v>3</v>
      </c>
    </row>
    <row r="31" customFormat="false" ht="15" hidden="false" customHeight="false" outlineLevel="0" collapsed="false">
      <c r="A31" s="0" t="s">
        <v>36</v>
      </c>
      <c r="B31" s="0" t="s">
        <v>37</v>
      </c>
      <c r="C31" s="9" t="n">
        <f aca="false">IFERROR(SUMPRODUCT((Actividades!$C$2:$C$164=$A31)*Actividades!$H$2:$H$164*Actividades!$I$2:$I$164)/SUMPRODUCT((Actividades!$C$2:$C$164=$A31)*Actividades!$I$2:$I$164),0)</f>
        <v>0.8</v>
      </c>
      <c r="D31" s="8" t="n">
        <f aca="false">COUNTIF(Actividades!$C$2:$C$164,$A31)</f>
        <v>11</v>
      </c>
      <c r="E31" s="8" t="n">
        <f aca="false">SUMPRODUCT((Actividades!$C$2:$C$164=$A31)*(Actividades!$G$2:$G$164="Terminado"))</f>
        <v>7</v>
      </c>
    </row>
    <row r="32" customFormat="false" ht="15" hidden="false" customHeight="false" outlineLevel="0" collapsed="false">
      <c r="A32" s="0" t="s">
        <v>38</v>
      </c>
      <c r="B32" s="0" t="s">
        <v>39</v>
      </c>
      <c r="C32" s="9" t="n">
        <f aca="false">IFERROR(SUMPRODUCT((Actividades!$C$2:$C$164=$A32)*Actividades!$H$2:$H$164*Actividades!$I$2:$I$164)/SUMPRODUCT((Actividades!$C$2:$C$164=$A32)*Actividades!$I$2:$I$164),0)</f>
        <v>0.428571428571429</v>
      </c>
      <c r="D32" s="8" t="n">
        <f aca="false">COUNTIF(Actividades!$C$2:$C$164,$A32)</f>
        <v>7</v>
      </c>
      <c r="E32" s="8" t="n">
        <f aca="false">SUMPRODUCT((Actividades!$C$2:$C$164=$A32)*(Actividades!$G$2:$G$164="Terminado"))</f>
        <v>2</v>
      </c>
    </row>
    <row r="33" customFormat="false" ht="15" hidden="false" customHeight="false" outlineLevel="0" collapsed="false">
      <c r="A33" s="0" t="s">
        <v>40</v>
      </c>
      <c r="B33" s="0" t="s">
        <v>41</v>
      </c>
      <c r="C33" s="9" t="n">
        <f aca="false">IFERROR(SUMPRODUCT((Actividades!$C$2:$C$164=$A33)*Actividades!$H$2:$H$164*Actividades!$I$2:$I$164)/SUMPRODUCT((Actividades!$C$2:$C$164=$A33)*Actividades!$I$2:$I$164),0)</f>
        <v>0.40625</v>
      </c>
      <c r="D33" s="8" t="n">
        <f aca="false">COUNTIF(Actividades!$C$2:$C$164,$A33)</f>
        <v>16</v>
      </c>
      <c r="E33" s="8" t="n">
        <f aca="false">SUMPRODUCT((Actividades!$C$2:$C$164=$A33)*(Actividades!$G$2:$G$164="Terminado"))</f>
        <v>5</v>
      </c>
    </row>
    <row r="34" customFormat="false" ht="15" hidden="false" customHeight="false" outlineLevel="0" collapsed="false">
      <c r="A34" s="0" t="s">
        <v>42</v>
      </c>
      <c r="B34" s="0" t="s">
        <v>43</v>
      </c>
      <c r="C34" s="9" t="n">
        <f aca="false">IFERROR(SUMPRODUCT((Actividades!$C$2:$C$164=$A34)*Actividades!$H$2:$H$164*Actividades!$I$2:$I$164)/SUMPRODUCT((Actividades!$C$2:$C$164=$A34)*Actividades!$I$2:$I$164),0)</f>
        <v>0.5</v>
      </c>
      <c r="D34" s="8" t="n">
        <f aca="false">COUNTIF(Actividades!$C$2:$C$164,$A34)</f>
        <v>11</v>
      </c>
      <c r="E34" s="8" t="n">
        <f aca="false">SUMPRODUCT((Actividades!$C$2:$C$164=$A34)*(Actividades!$G$2:$G$164="Terminado"))</f>
        <v>3</v>
      </c>
    </row>
    <row r="35" customFormat="false" ht="15" hidden="false" customHeight="false" outlineLevel="0" collapsed="false">
      <c r="A35" s="0" t="s">
        <v>44</v>
      </c>
      <c r="B35" s="0" t="s">
        <v>45</v>
      </c>
      <c r="C35" s="9" t="n">
        <f aca="false">IFERROR(SUMPRODUCT((Actividades!$C$2:$C$164=$A35)*Actividades!$H$2:$H$164*Actividades!$I$2:$I$164)/SUMPRODUCT((Actividades!$C$2:$C$164=$A35)*Actividades!$I$2:$I$164),0)</f>
        <v>0.0555555555555556</v>
      </c>
      <c r="D35" s="8" t="n">
        <f aca="false">COUNTIF(Actividades!$C$2:$C$164,$A35)</f>
        <v>9</v>
      </c>
      <c r="E35" s="8" t="n">
        <f aca="false">SUMPRODUCT((Actividades!$C$2:$C$164=$A35)*(Actividades!$G$2:$G$164="Terminado"))</f>
        <v>0</v>
      </c>
    </row>
    <row r="36" customFormat="false" ht="15" hidden="false" customHeight="false" outlineLevel="0" collapsed="false">
      <c r="A36" s="0" t="s">
        <v>46</v>
      </c>
      <c r="B36" s="0" t="s">
        <v>47</v>
      </c>
      <c r="C36" s="9" t="n">
        <f aca="false">IFERROR(SUMPRODUCT((Actividades!$C$2:$C$164=$A36)*Actividades!$H$2:$H$164*Actividades!$I$2:$I$164)/SUMPRODUCT((Actividades!$C$2:$C$164=$A36)*Actividades!$I$2:$I$164),0)</f>
        <v>0.392857142857143</v>
      </c>
      <c r="D36" s="8" t="n">
        <f aca="false">COUNTIF(Actividades!$C$2:$C$164,$A36)</f>
        <v>14</v>
      </c>
      <c r="E36" s="8" t="n">
        <f aca="false">SUMPRODUCT((Actividades!$C$2:$C$164=$A36)*(Actividades!$G$2:$G$164="Terminado"))</f>
        <v>5</v>
      </c>
    </row>
    <row r="37" customFormat="false" ht="15" hidden="false" customHeight="false" outlineLevel="0" collapsed="false">
      <c r="A37" s="0" t="s">
        <v>48</v>
      </c>
      <c r="B37" s="0" t="s">
        <v>49</v>
      </c>
      <c r="C37" s="9" t="n">
        <f aca="false">IFERROR(SUMPRODUCT((Actividades!$C$2:$C$164=$A37)*Actividades!$H$2:$H$164*Actividades!$I$2:$I$164)/SUMPRODUCT((Actividades!$C$2:$C$164=$A37)*Actividades!$I$2:$I$164),0)</f>
        <v>0</v>
      </c>
      <c r="D37" s="8" t="n">
        <f aca="false">COUNTIF(Actividades!$C$2:$C$164,$A37)</f>
        <v>11</v>
      </c>
      <c r="E37" s="8" t="n">
        <f aca="false">SUMPRODUCT((Actividades!$C$2:$C$164=$A37)*(Actividades!$G$2:$G$164="Terminado"))</f>
        <v>0</v>
      </c>
    </row>
    <row r="38" customFormat="false" ht="15" hidden="false" customHeight="false" outlineLevel="0" collapsed="false">
      <c r="A38" s="0" t="s">
        <v>50</v>
      </c>
      <c r="B38" s="0" t="s">
        <v>51</v>
      </c>
      <c r="C38" s="9" t="n">
        <f aca="false">IFERROR(SUMPRODUCT((Actividades!$C$2:$C$164=$A38)*Actividades!$H$2:$H$164*Actividades!$I$2:$I$164)/SUMPRODUCT((Actividades!$C$2:$C$164=$A38)*Actividades!$I$2:$I$164),0)</f>
        <v>0.0357142857142857</v>
      </c>
      <c r="D38" s="8" t="n">
        <f aca="false">COUNTIF(Actividades!$C$2:$C$164,$A38)</f>
        <v>14</v>
      </c>
      <c r="E38" s="8" t="n">
        <f aca="false">SUMPRODUCT((Actividades!$C$2:$C$164=$A38)*(Actividades!$G$2:$G$164="Terminado"))</f>
        <v>0</v>
      </c>
    </row>
    <row r="39" customFormat="false" ht="15" hidden="false" customHeight="false" outlineLevel="0" collapsed="false">
      <c r="A39" s="0" t="s">
        <v>52</v>
      </c>
      <c r="B39" s="0" t="s">
        <v>53</v>
      </c>
      <c r="C39" s="9" t="n">
        <f aca="false">IFERROR(SUMPRODUCT((Actividades!$C$2:$C$164=$A39)*Actividades!$H$2:$H$164*Actividades!$I$2:$I$164)/SUMPRODUCT((Actividades!$C$2:$C$164=$A39)*Actividades!$I$2:$I$164),0)</f>
        <v>0</v>
      </c>
      <c r="D39" s="8" t="n">
        <f aca="false">COUNTIF(Actividades!$C$2:$C$164,$A39)</f>
        <v>9</v>
      </c>
      <c r="E39" s="8" t="n">
        <f aca="false">SUMPRODUCT((Actividades!$C$2:$C$164=$A39)*(Actividades!$G$2:$G$164="Terminado"))</f>
        <v>0</v>
      </c>
    </row>
    <row r="40" customFormat="false" ht="15" hidden="false" customHeight="false" outlineLevel="0" collapsed="false">
      <c r="A40" s="0" t="s">
        <v>54</v>
      </c>
      <c r="B40" s="0" t="s">
        <v>55</v>
      </c>
      <c r="C40" s="9" t="n">
        <f aca="false">IFERROR(SUMPRODUCT((Actividades!$C$2:$C$164=$A40)*Actividades!$H$2:$H$164*Actividades!$I$2:$I$164)/SUMPRODUCT((Actividades!$C$2:$C$164=$A40)*Actividades!$I$2:$I$164),0)</f>
        <v>0.111111111111111</v>
      </c>
      <c r="D40" s="8" t="n">
        <f aca="false">COUNTIF(Actividades!$C$2:$C$164,$A40)</f>
        <v>9</v>
      </c>
      <c r="E40" s="8" t="n">
        <f aca="false">SUMPRODUCT((Actividades!$C$2:$C$164=$A40)*(Actividades!$G$2:$G$164="Terminado"))</f>
        <v>1</v>
      </c>
    </row>
    <row r="41" customFormat="false" ht="15" hidden="false" customHeight="false" outlineLevel="0" collapsed="false">
      <c r="A41" s="0" t="s">
        <v>56</v>
      </c>
      <c r="B41" s="0" t="s">
        <v>57</v>
      </c>
      <c r="C41" s="9" t="n">
        <f aca="false">IFERROR(SUMPRODUCT((Actividades!$C$2:$C$164=$A41)*Actividades!$H$2:$H$164*Actividades!$I$2:$I$164)/SUMPRODUCT((Actividades!$C$2:$C$164=$A41)*Actividades!$I$2:$I$164),0)</f>
        <v>0</v>
      </c>
      <c r="D41" s="8" t="n">
        <f aca="false">COUNTIF(Actividades!$C$2:$C$164,$A41)</f>
        <v>9</v>
      </c>
      <c r="E41" s="8" t="n">
        <f aca="false">SUMPRODUCT((Actividades!$C$2:$C$164=$A41)*(Actividades!$G$2:$G$164="Terminado"))</f>
        <v>0</v>
      </c>
    </row>
    <row r="42" customFormat="false" ht="15" hidden="false" customHeight="false" outlineLevel="0" collapsed="false">
      <c r="A42" s="0" t="s">
        <v>58</v>
      </c>
      <c r="B42" s="0" t="s">
        <v>59</v>
      </c>
      <c r="C42" s="9" t="n">
        <f aca="false">IFERROR(SUMPRODUCT((Actividades!$C$2:$C$164=$A42)*Actividades!$H$2:$H$164*Actividades!$I$2:$I$164)/SUMPRODUCT((Actividades!$C$2:$C$164=$A42)*Actividades!$I$2:$I$164),0)</f>
        <v>0</v>
      </c>
      <c r="D42" s="8" t="n">
        <f aca="false">COUNTIF(Actividades!$C$2:$C$164,$A42)</f>
        <v>7</v>
      </c>
      <c r="E42" s="8" t="n">
        <f aca="false">SUMPRODUCT((Actividades!$C$2:$C$164=$A42)*(Actividades!$G$2:$G$164="Terminado"))</f>
        <v>0</v>
      </c>
    </row>
    <row r="43" customFormat="false" ht="15" hidden="false" customHeight="false" outlineLevel="0" collapsed="false">
      <c r="A43" s="0" t="s">
        <v>60</v>
      </c>
      <c r="B43" s="0" t="s">
        <v>61</v>
      </c>
      <c r="C43" s="9" t="n">
        <f aca="false">IFERROR(SUMPRODUCT((Actividades!$C$2:$C$164=$A43)*Actividades!$H$2:$H$164*Actividades!$I$2:$I$164)/SUMPRODUCT((Actividades!$C$2:$C$164=$A43)*Actividades!$I$2:$I$164),0)</f>
        <v>0</v>
      </c>
      <c r="D43" s="8" t="n">
        <f aca="false">COUNTIF(Actividades!$C$2:$C$164,$A43)</f>
        <v>9</v>
      </c>
      <c r="E43" s="8" t="n">
        <f aca="false">SUMPRODUCT((Actividades!$C$2:$C$164=$A43)*(Actividades!$G$2:$G$164="Terminado"))</f>
        <v>0</v>
      </c>
    </row>
    <row r="44" customFormat="false" ht="15" hidden="false" customHeight="false" outlineLevel="0" collapsed="false">
      <c r="A44" s="0" t="s">
        <v>62</v>
      </c>
      <c r="B44" s="0" t="s">
        <v>63</v>
      </c>
      <c r="C44" s="9" t="n">
        <f aca="false">IFERROR(SUMPRODUCT((Actividades!$C$2:$C$164=$A44)*Actividades!$H$2:$H$164*Actividades!$I$2:$I$164)/SUMPRODUCT((Actividades!$C$2:$C$164=$A44)*Actividades!$I$2:$I$164),0)</f>
        <v>0</v>
      </c>
      <c r="D44" s="8" t="n">
        <f aca="false">COUNTIF(Actividades!$C$2:$C$164,$A44)</f>
        <v>9</v>
      </c>
      <c r="E44" s="8" t="n">
        <f aca="false">SUMPRODUCT((Actividades!$C$2:$C$164=$A44)*(Actividades!$G$2:$G$164="Terminado"))</f>
        <v>0</v>
      </c>
    </row>
    <row r="45" customFormat="false" ht="15" hidden="false" customHeight="false" outlineLevel="0" collapsed="false">
      <c r="A45" s="0" t="s">
        <v>64</v>
      </c>
      <c r="B45" s="0" t="s">
        <v>65</v>
      </c>
      <c r="C45" s="9" t="n">
        <f aca="false">IFERROR(SUMPRODUCT((Actividades!$C$2:$C$164=$A45)*Actividades!$H$2:$H$164*Actividades!$I$2:$I$164)/SUMPRODUCT((Actividades!$C$2:$C$164=$A45)*Actividades!$I$2:$I$164),0)</f>
        <v>0</v>
      </c>
      <c r="D45" s="8" t="n">
        <f aca="false">COUNTIF(Actividades!$C$2:$C$164,$A45)</f>
        <v>7</v>
      </c>
      <c r="E45" s="8" t="n">
        <f aca="false">SUMPRODUCT((Actividades!$C$2:$C$164=$A45)*(Actividades!$G$2:$G$164="Terminado"))</f>
        <v>0</v>
      </c>
    </row>
    <row r="46" customFormat="false" ht="15" hidden="false" customHeight="false" outlineLevel="0" collapsed="false">
      <c r="A46" s="0" t="s">
        <v>66</v>
      </c>
      <c r="B46" s="0" t="s">
        <v>67</v>
      </c>
      <c r="C46" s="9" t="n">
        <f aca="false">IFERROR(SUMPRODUCT((Actividades!$C$2:$C$164=$A46)*Actividades!$H$2:$H$164*Actividades!$I$2:$I$164)/SUMPRODUCT((Actividades!$C$2:$C$164=$A46)*Actividades!$I$2:$I$164),0)</f>
        <v>0</v>
      </c>
      <c r="D46" s="8" t="n">
        <f aca="false">COUNTIF(Actividades!$C$2:$C$164,$A46)</f>
        <v>6</v>
      </c>
      <c r="E46" s="8" t="n">
        <f aca="false">SUMPRODUCT((Actividades!$C$2:$C$164=$A46)*(Actividades!$G$2:$G$164="Terminado"))</f>
        <v>0</v>
      </c>
    </row>
    <row r="48" customFormat="false" ht="17.35" hidden="false" customHeight="false" outlineLevel="0" collapsed="false">
      <c r="A48" s="3"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20"/>
    <col collapsed="false" customWidth="true" hidden="false" outlineLevel="0" max="4" min="4" style="0" width="95"/>
  </cols>
  <sheetData>
    <row r="1" customFormat="false" ht="15" hidden="false" customHeight="false" outlineLevel="0" collapsed="false">
      <c r="A1" s="16" t="s">
        <v>74</v>
      </c>
    </row>
    <row r="2" customFormat="false" ht="15" hidden="false" customHeight="false" outlineLevel="0" collapsed="false">
      <c r="A2" s="17" t="s">
        <v>10</v>
      </c>
      <c r="B2" s="17" t="s">
        <v>75</v>
      </c>
      <c r="C2" s="17" t="s">
        <v>76</v>
      </c>
      <c r="D2" s="17" t="s">
        <v>77</v>
      </c>
    </row>
    <row r="3" customFormat="false" ht="15" hidden="false" customHeight="false" outlineLevel="0" collapsed="false">
      <c r="A3" s="18" t="s">
        <v>13</v>
      </c>
      <c r="B3" s="19" t="n">
        <v>1</v>
      </c>
      <c r="C3" s="18" t="n">
        <v>1</v>
      </c>
      <c r="D3" s="18" t="s">
        <v>78</v>
      </c>
    </row>
    <row r="4" customFormat="false" ht="15" hidden="false" customHeight="false" outlineLevel="0" collapsed="false">
      <c r="A4" s="18" t="s">
        <v>14</v>
      </c>
      <c r="B4" s="19" t="n">
        <v>0.5</v>
      </c>
      <c r="C4" s="18" t="n">
        <v>1</v>
      </c>
      <c r="D4" s="18" t="s">
        <v>79</v>
      </c>
    </row>
    <row r="5" customFormat="false" ht="15" hidden="false" customHeight="false" outlineLevel="0" collapsed="false">
      <c r="A5" s="18" t="s">
        <v>15</v>
      </c>
      <c r="B5" s="19" t="n">
        <v>0</v>
      </c>
      <c r="C5" s="18" t="n">
        <v>1</v>
      </c>
      <c r="D5" s="18" t="s">
        <v>80</v>
      </c>
    </row>
    <row r="6" customFormat="false" ht="15" hidden="false" customHeight="false" outlineLevel="0" collapsed="false">
      <c r="A6" s="18" t="s">
        <v>16</v>
      </c>
      <c r="B6" s="19" t="n">
        <v>0</v>
      </c>
      <c r="C6" s="18" t="n">
        <v>1</v>
      </c>
      <c r="D6" s="18" t="s">
        <v>81</v>
      </c>
    </row>
    <row r="7" customFormat="false" ht="15" hidden="false" customHeight="false" outlineLevel="0" collapsed="false">
      <c r="A7" s="18" t="s">
        <v>17</v>
      </c>
      <c r="B7" s="19" t="n">
        <v>0</v>
      </c>
      <c r="C7" s="18" t="n">
        <v>0</v>
      </c>
      <c r="D7" s="18" t="s">
        <v>82</v>
      </c>
    </row>
    <row r="8" customFormat="false" ht="15" hidden="false" customHeight="false" outlineLevel="0" collapsed="false">
      <c r="A8" s="18" t="s">
        <v>18</v>
      </c>
      <c r="B8" s="19" t="n">
        <v>0</v>
      </c>
      <c r="C8" s="18" t="n">
        <v>0</v>
      </c>
      <c r="D8" s="18" t="s">
        <v>83</v>
      </c>
    </row>
    <row r="9" customFormat="false" ht="15" hidden="false" customHeight="false" outlineLevel="0" collapsed="false">
      <c r="A9" s="18"/>
      <c r="B9" s="18"/>
      <c r="C9" s="18"/>
      <c r="D9" s="18"/>
    </row>
    <row r="10" customFormat="false" ht="15" hidden="false" customHeight="false" outlineLevel="0" collapsed="false">
      <c r="A10" s="18"/>
      <c r="B10" s="18"/>
      <c r="C10" s="18"/>
      <c r="D10" s="18"/>
    </row>
    <row r="11" customFormat="false" ht="15" hidden="false" customHeight="false" outlineLevel="0" collapsed="false">
      <c r="A11" s="16" t="s">
        <v>84</v>
      </c>
    </row>
    <row r="12" customFormat="false" ht="15" hidden="false" customHeight="false" outlineLevel="0" collapsed="false">
      <c r="A12" s="17" t="s">
        <v>20</v>
      </c>
      <c r="B12" s="17" t="s">
        <v>85</v>
      </c>
      <c r="C12" s="17" t="s">
        <v>86</v>
      </c>
      <c r="D12" s="17"/>
    </row>
    <row r="13" customFormat="false" ht="15" hidden="false" customHeight="false" outlineLevel="0" collapsed="false">
      <c r="A13" s="18" t="s">
        <v>25</v>
      </c>
      <c r="B13" s="18" t="n">
        <v>8.5</v>
      </c>
      <c r="C13" s="18" t="s">
        <v>87</v>
      </c>
      <c r="D13" s="18"/>
    </row>
    <row r="14" customFormat="false" ht="15" hidden="false" customHeight="false" outlineLevel="0" collapsed="false">
      <c r="A14" s="18" t="s">
        <v>26</v>
      </c>
      <c r="B14" s="18" t="n">
        <v>12</v>
      </c>
      <c r="C14" s="18" t="s">
        <v>88</v>
      </c>
      <c r="D14" s="18"/>
    </row>
    <row r="15" customFormat="false" ht="15" hidden="false" customHeight="false" outlineLevel="0" collapsed="false">
      <c r="A15" s="18" t="s">
        <v>27</v>
      </c>
      <c r="B15" s="18" t="n">
        <v>14</v>
      </c>
      <c r="C15" s="18" t="s">
        <v>89</v>
      </c>
      <c r="D15" s="18"/>
    </row>
    <row r="16" customFormat="false" ht="15" hidden="false" customHeight="false" outlineLevel="0" collapsed="false">
      <c r="A16" s="18" t="s">
        <v>28</v>
      </c>
      <c r="B16" s="18" t="n">
        <v>10</v>
      </c>
      <c r="C16" s="18" t="s">
        <v>90</v>
      </c>
      <c r="D16" s="18"/>
    </row>
    <row r="17" customFormat="false" ht="15" hidden="false" customHeight="false" outlineLevel="0" collapsed="false">
      <c r="A17" s="18"/>
      <c r="B17" s="18"/>
      <c r="C17" s="18"/>
      <c r="D17" s="18"/>
    </row>
    <row r="18" customFormat="false" ht="15" hidden="false" customHeight="false" outlineLevel="0" collapsed="false">
      <c r="A18" s="18"/>
      <c r="B18" s="18"/>
      <c r="C18" s="18"/>
      <c r="D18" s="18"/>
    </row>
    <row r="19" customFormat="false" ht="15" hidden="false" customHeight="false" outlineLevel="0" collapsed="false">
      <c r="A19" s="20"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
    <col collapsed="false" customWidth="true" hidden="false" outlineLevel="0" max="4" min="4" style="0" width="26"/>
    <col collapsed="false" customWidth="true" hidden="false" outlineLevel="0" max="5" min="5" style="0" width="7"/>
    <col collapsed="false" customWidth="true" hidden="false" outlineLevel="0" max="6" min="6" style="0" width="62"/>
    <col collapsed="false" customWidth="true" hidden="false" outlineLevel="0" max="7" min="7" style="0" width="14"/>
    <col collapsed="false" customWidth="true" hidden="false" outlineLevel="0" max="8" min="8" style="0" width="10"/>
    <col collapsed="false" customWidth="true" hidden="false" outlineLevel="0" max="9" min="9" style="0" width="9"/>
    <col collapsed="false" customWidth="true" hidden="false" outlineLevel="0" max="10" min="10" style="0" width="85"/>
  </cols>
  <sheetData>
    <row r="1" customFormat="false" ht="24" hidden="false" customHeight="true" outlineLevel="0" collapsed="false">
      <c r="A1" s="4" t="s">
        <v>92</v>
      </c>
      <c r="B1" s="4" t="s">
        <v>20</v>
      </c>
      <c r="C1" s="4" t="s">
        <v>30</v>
      </c>
      <c r="D1" s="4" t="s">
        <v>93</v>
      </c>
      <c r="E1" s="4" t="s">
        <v>94</v>
      </c>
      <c r="F1" s="4" t="s">
        <v>95</v>
      </c>
      <c r="G1" s="4" t="s">
        <v>10</v>
      </c>
      <c r="H1" s="4" t="s">
        <v>21</v>
      </c>
      <c r="I1" s="4" t="s">
        <v>96</v>
      </c>
      <c r="J1" s="4" t="s">
        <v>97</v>
      </c>
    </row>
    <row r="2" customFormat="false" ht="23.85" hidden="false" customHeight="false" outlineLevel="0" collapsed="false">
      <c r="A2" s="21" t="n">
        <v>1</v>
      </c>
      <c r="B2" s="21" t="s">
        <v>25</v>
      </c>
      <c r="C2" s="21" t="s">
        <v>32</v>
      </c>
      <c r="D2" s="21" t="s">
        <v>33</v>
      </c>
      <c r="E2" s="22" t="s">
        <v>98</v>
      </c>
      <c r="F2" s="23" t="s">
        <v>99</v>
      </c>
      <c r="G2" s="24" t="s">
        <v>13</v>
      </c>
      <c r="H2" s="25" t="n">
        <f aca="false">IFERROR(INDEX(Config!$B$3:$B$8,MATCH($G2,Config!$A$3:$A$8,0)),0)</f>
        <v>1</v>
      </c>
      <c r="I2" s="26" t="n">
        <f aca="false">IFERROR(INDEX(Config!$C$3:$C$8,MATCH($G2,Config!$A$3:$A$8,0)),0)</f>
        <v>1</v>
      </c>
      <c r="J2" s="23" t="s">
        <v>100</v>
      </c>
    </row>
    <row r="3" customFormat="false" ht="23.85" hidden="false" customHeight="false" outlineLevel="0" collapsed="false">
      <c r="A3" s="21" t="n">
        <v>2</v>
      </c>
      <c r="B3" s="21" t="s">
        <v>25</v>
      </c>
      <c r="C3" s="21" t="s">
        <v>34</v>
      </c>
      <c r="D3" s="21" t="s">
        <v>35</v>
      </c>
      <c r="E3" s="22" t="s">
        <v>101</v>
      </c>
      <c r="F3" s="23" t="s">
        <v>102</v>
      </c>
      <c r="G3" s="24" t="s">
        <v>14</v>
      </c>
      <c r="H3" s="25" t="n">
        <f aca="false">IFERROR(INDEX(Config!$B$3:$B$8,MATCH($G3,Config!$A$3:$A$8,0)),0)</f>
        <v>0.5</v>
      </c>
      <c r="I3" s="26" t="n">
        <f aca="false">IFERROR(INDEX(Config!$C$3:$C$8,MATCH($G3,Config!$A$3:$A$8,0)),0)</f>
        <v>1</v>
      </c>
      <c r="J3" s="23" t="s">
        <v>103</v>
      </c>
    </row>
    <row r="4" customFormat="false" ht="15" hidden="false" customHeight="false" outlineLevel="0" collapsed="false">
      <c r="A4" s="21" t="n">
        <v>3</v>
      </c>
      <c r="B4" s="21" t="s">
        <v>25</v>
      </c>
      <c r="C4" s="21" t="s">
        <v>34</v>
      </c>
      <c r="D4" s="21" t="s">
        <v>35</v>
      </c>
      <c r="E4" s="22" t="s">
        <v>104</v>
      </c>
      <c r="F4" s="23" t="s">
        <v>105</v>
      </c>
      <c r="G4" s="24" t="s">
        <v>13</v>
      </c>
      <c r="H4" s="25" t="n">
        <f aca="false">IFERROR(INDEX(Config!$B$3:$B$8,MATCH($G4,Config!$A$3:$A$8,0)),0)</f>
        <v>1</v>
      </c>
      <c r="I4" s="26" t="n">
        <f aca="false">IFERROR(INDEX(Config!$C$3:$C$8,MATCH($G4,Config!$A$3:$A$8,0)),0)</f>
        <v>1</v>
      </c>
      <c r="J4" s="23" t="s">
        <v>106</v>
      </c>
    </row>
    <row r="5" customFormat="false" ht="23.85" hidden="false" customHeight="false" outlineLevel="0" collapsed="false">
      <c r="A5" s="21" t="n">
        <v>4</v>
      </c>
      <c r="B5" s="21" t="s">
        <v>25</v>
      </c>
      <c r="C5" s="21" t="s">
        <v>34</v>
      </c>
      <c r="D5" s="21" t="s">
        <v>35</v>
      </c>
      <c r="E5" s="22" t="s">
        <v>107</v>
      </c>
      <c r="F5" s="23" t="s">
        <v>108</v>
      </c>
      <c r="G5" s="24" t="s">
        <v>13</v>
      </c>
      <c r="H5" s="25" t="n">
        <f aca="false">IFERROR(INDEX(Config!$B$3:$B$8,MATCH($G5,Config!$A$3:$A$8,0)),0)</f>
        <v>1</v>
      </c>
      <c r="I5" s="26" t="n">
        <f aca="false">IFERROR(INDEX(Config!$C$3:$C$8,MATCH($G5,Config!$A$3:$A$8,0)),0)</f>
        <v>1</v>
      </c>
      <c r="J5" s="23" t="s">
        <v>109</v>
      </c>
    </row>
    <row r="6" customFormat="false" ht="23.85" hidden="false" customHeight="false" outlineLevel="0" collapsed="false">
      <c r="A6" s="21" t="n">
        <v>5</v>
      </c>
      <c r="B6" s="21" t="s">
        <v>25</v>
      </c>
      <c r="C6" s="21" t="s">
        <v>34</v>
      </c>
      <c r="D6" s="21" t="s">
        <v>35</v>
      </c>
      <c r="E6" s="22" t="s">
        <v>110</v>
      </c>
      <c r="F6" s="23" t="s">
        <v>111</v>
      </c>
      <c r="G6" s="24" t="s">
        <v>13</v>
      </c>
      <c r="H6" s="25" t="n">
        <f aca="false">IFERROR(INDEX(Config!$B$3:$B$8,MATCH($G6,Config!$A$3:$A$8,0)),0)</f>
        <v>1</v>
      </c>
      <c r="I6" s="26" t="n">
        <f aca="false">IFERROR(INDEX(Config!$C$3:$C$8,MATCH($G6,Config!$A$3:$A$8,0)),0)</f>
        <v>1</v>
      </c>
      <c r="J6" s="23" t="s">
        <v>112</v>
      </c>
    </row>
    <row r="7" customFormat="false" ht="15" hidden="false" customHeight="false" outlineLevel="0" collapsed="false">
      <c r="A7" s="21" t="n">
        <v>6</v>
      </c>
      <c r="B7" s="21" t="s">
        <v>25</v>
      </c>
      <c r="C7" s="21" t="s">
        <v>36</v>
      </c>
      <c r="D7" s="21" t="s">
        <v>37</v>
      </c>
      <c r="E7" s="22" t="s">
        <v>113</v>
      </c>
      <c r="F7" s="23" t="s">
        <v>114</v>
      </c>
      <c r="G7" s="24" t="s">
        <v>13</v>
      </c>
      <c r="H7" s="25" t="n">
        <f aca="false">IFERROR(INDEX(Config!$B$3:$B$8,MATCH($G7,Config!$A$3:$A$8,0)),0)</f>
        <v>1</v>
      </c>
      <c r="I7" s="26" t="n">
        <f aca="false">IFERROR(INDEX(Config!$C$3:$C$8,MATCH($G7,Config!$A$3:$A$8,0)),0)</f>
        <v>1</v>
      </c>
      <c r="J7" s="23" t="s">
        <v>115</v>
      </c>
    </row>
    <row r="8" customFormat="false" ht="15" hidden="false" customHeight="false" outlineLevel="0" collapsed="false">
      <c r="A8" s="21" t="n">
        <v>7</v>
      </c>
      <c r="B8" s="21" t="s">
        <v>25</v>
      </c>
      <c r="C8" s="21" t="s">
        <v>36</v>
      </c>
      <c r="D8" s="21" t="s">
        <v>37</v>
      </c>
      <c r="E8" s="22" t="s">
        <v>116</v>
      </c>
      <c r="F8" s="23" t="s">
        <v>117</v>
      </c>
      <c r="G8" s="24" t="s">
        <v>13</v>
      </c>
      <c r="H8" s="25" t="n">
        <f aca="false">IFERROR(INDEX(Config!$B$3:$B$8,MATCH($G8,Config!$A$3:$A$8,0)),0)</f>
        <v>1</v>
      </c>
      <c r="I8" s="26" t="n">
        <f aca="false">IFERROR(INDEX(Config!$C$3:$C$8,MATCH($G8,Config!$A$3:$A$8,0)),0)</f>
        <v>1</v>
      </c>
      <c r="J8" s="23" t="s">
        <v>118</v>
      </c>
    </row>
    <row r="9" customFormat="false" ht="15" hidden="false" customHeight="false" outlineLevel="0" collapsed="false">
      <c r="A9" s="21" t="n">
        <v>8</v>
      </c>
      <c r="B9" s="21" t="s">
        <v>25</v>
      </c>
      <c r="C9" s="21" t="s">
        <v>36</v>
      </c>
      <c r="D9" s="21" t="s">
        <v>37</v>
      </c>
      <c r="E9" s="22" t="s">
        <v>119</v>
      </c>
      <c r="F9" s="23" t="s">
        <v>120</v>
      </c>
      <c r="G9" s="24" t="s">
        <v>13</v>
      </c>
      <c r="H9" s="25" t="n">
        <f aca="false">IFERROR(INDEX(Config!$B$3:$B$8,MATCH($G9,Config!$A$3:$A$8,0)),0)</f>
        <v>1</v>
      </c>
      <c r="I9" s="26" t="n">
        <f aca="false">IFERROR(INDEX(Config!$C$3:$C$8,MATCH($G9,Config!$A$3:$A$8,0)),0)</f>
        <v>1</v>
      </c>
      <c r="J9" s="23" t="s">
        <v>121</v>
      </c>
    </row>
    <row r="10" customFormat="false" ht="15" hidden="false" customHeight="false" outlineLevel="0" collapsed="false">
      <c r="A10" s="21" t="n">
        <v>9</v>
      </c>
      <c r="B10" s="21" t="s">
        <v>25</v>
      </c>
      <c r="C10" s="21" t="s">
        <v>36</v>
      </c>
      <c r="D10" s="21" t="s">
        <v>37</v>
      </c>
      <c r="E10" s="22" t="s">
        <v>122</v>
      </c>
      <c r="F10" s="23" t="s">
        <v>123</v>
      </c>
      <c r="G10" s="24" t="s">
        <v>13</v>
      </c>
      <c r="H10" s="25" t="n">
        <f aca="false">IFERROR(INDEX(Config!$B$3:$B$8,MATCH($G10,Config!$A$3:$A$8,0)),0)</f>
        <v>1</v>
      </c>
      <c r="I10" s="26" t="n">
        <f aca="false">IFERROR(INDEX(Config!$C$3:$C$8,MATCH($G10,Config!$A$3:$A$8,0)),0)</f>
        <v>1</v>
      </c>
      <c r="J10" s="23" t="s">
        <v>124</v>
      </c>
    </row>
    <row r="11" customFormat="false" ht="15" hidden="false" customHeight="false" outlineLevel="0" collapsed="false">
      <c r="A11" s="21" t="n">
        <v>10</v>
      </c>
      <c r="B11" s="21" t="s">
        <v>25</v>
      </c>
      <c r="C11" s="21" t="s">
        <v>36</v>
      </c>
      <c r="D11" s="21" t="s">
        <v>37</v>
      </c>
      <c r="E11" s="22" t="s">
        <v>125</v>
      </c>
      <c r="F11" s="23" t="s">
        <v>126</v>
      </c>
      <c r="G11" s="24" t="s">
        <v>13</v>
      </c>
      <c r="H11" s="25" t="n">
        <f aca="false">IFERROR(INDEX(Config!$B$3:$B$8,MATCH($G11,Config!$A$3:$A$8,0)),0)</f>
        <v>1</v>
      </c>
      <c r="I11" s="26" t="n">
        <f aca="false">IFERROR(INDEX(Config!$C$3:$C$8,MATCH($G11,Config!$A$3:$A$8,0)),0)</f>
        <v>1</v>
      </c>
      <c r="J11" s="23" t="s">
        <v>127</v>
      </c>
    </row>
    <row r="12" customFormat="false" ht="23.85" hidden="false" customHeight="false" outlineLevel="0" collapsed="false">
      <c r="A12" s="21" t="n">
        <v>11</v>
      </c>
      <c r="B12" s="21" t="s">
        <v>25</v>
      </c>
      <c r="C12" s="21" t="s">
        <v>36</v>
      </c>
      <c r="D12" s="21" t="s">
        <v>37</v>
      </c>
      <c r="E12" s="22" t="s">
        <v>128</v>
      </c>
      <c r="F12" s="23" t="s">
        <v>129</v>
      </c>
      <c r="G12" s="24" t="s">
        <v>13</v>
      </c>
      <c r="H12" s="25" t="n">
        <f aca="false">IFERROR(INDEX(Config!$B$3:$B$8,MATCH($G12,Config!$A$3:$A$8,0)),0)</f>
        <v>1</v>
      </c>
      <c r="I12" s="26" t="n">
        <f aca="false">IFERROR(INDEX(Config!$C$3:$C$8,MATCH($G12,Config!$A$3:$A$8,0)),0)</f>
        <v>1</v>
      </c>
      <c r="J12" s="23" t="s">
        <v>130</v>
      </c>
    </row>
    <row r="13" customFormat="false" ht="23.85" hidden="false" customHeight="false" outlineLevel="0" collapsed="false">
      <c r="A13" s="21" t="n">
        <v>12</v>
      </c>
      <c r="B13" s="21" t="s">
        <v>25</v>
      </c>
      <c r="C13" s="21" t="s">
        <v>36</v>
      </c>
      <c r="D13" s="21" t="s">
        <v>37</v>
      </c>
      <c r="E13" s="22" t="s">
        <v>131</v>
      </c>
      <c r="F13" s="23" t="s">
        <v>132</v>
      </c>
      <c r="G13" s="24" t="s">
        <v>15</v>
      </c>
      <c r="H13" s="25" t="n">
        <f aca="false">IFERROR(INDEX(Config!$B$3:$B$8,MATCH($G13,Config!$A$3:$A$8,0)),0)</f>
        <v>0</v>
      </c>
      <c r="I13" s="26" t="n">
        <f aca="false">IFERROR(INDEX(Config!$C$3:$C$8,MATCH($G13,Config!$A$3:$A$8,0)),0)</f>
        <v>1</v>
      </c>
      <c r="J13" s="23" t="s">
        <v>133</v>
      </c>
    </row>
    <row r="14" customFormat="false" ht="23.85" hidden="false" customHeight="false" outlineLevel="0" collapsed="false">
      <c r="A14" s="21" t="n">
        <v>13</v>
      </c>
      <c r="B14" s="21" t="s">
        <v>25</v>
      </c>
      <c r="C14" s="21" t="s">
        <v>36</v>
      </c>
      <c r="D14" s="21" t="s">
        <v>37</v>
      </c>
      <c r="E14" s="22" t="s">
        <v>134</v>
      </c>
      <c r="F14" s="23" t="s">
        <v>135</v>
      </c>
      <c r="G14" s="24" t="s">
        <v>14</v>
      </c>
      <c r="H14" s="25" t="n">
        <f aca="false">IFERROR(INDEX(Config!$B$3:$B$8,MATCH($G14,Config!$A$3:$A$8,0)),0)</f>
        <v>0.5</v>
      </c>
      <c r="I14" s="26" t="n">
        <f aca="false">IFERROR(INDEX(Config!$C$3:$C$8,MATCH($G14,Config!$A$3:$A$8,0)),0)</f>
        <v>1</v>
      </c>
      <c r="J14" s="23" t="s">
        <v>136</v>
      </c>
    </row>
    <row r="15" customFormat="false" ht="15" hidden="false" customHeight="false" outlineLevel="0" collapsed="false">
      <c r="A15" s="21" t="n">
        <v>14</v>
      </c>
      <c r="B15" s="21" t="s">
        <v>25</v>
      </c>
      <c r="C15" s="21" t="s">
        <v>36</v>
      </c>
      <c r="D15" s="21" t="s">
        <v>37</v>
      </c>
      <c r="E15" s="22" t="s">
        <v>137</v>
      </c>
      <c r="F15" s="23" t="s">
        <v>138</v>
      </c>
      <c r="G15" s="24" t="s">
        <v>14</v>
      </c>
      <c r="H15" s="25" t="n">
        <f aca="false">IFERROR(INDEX(Config!$B$3:$B$8,MATCH($G15,Config!$A$3:$A$8,0)),0)</f>
        <v>0.5</v>
      </c>
      <c r="I15" s="26" t="n">
        <f aca="false">IFERROR(INDEX(Config!$C$3:$C$8,MATCH($G15,Config!$A$3:$A$8,0)),0)</f>
        <v>1</v>
      </c>
      <c r="J15" s="23" t="s">
        <v>139</v>
      </c>
    </row>
    <row r="16" customFormat="false" ht="15" hidden="false" customHeight="false" outlineLevel="0" collapsed="false">
      <c r="A16" s="21" t="n">
        <v>15</v>
      </c>
      <c r="B16" s="21" t="s">
        <v>25</v>
      </c>
      <c r="C16" s="21" t="s">
        <v>36</v>
      </c>
      <c r="D16" s="21" t="s">
        <v>37</v>
      </c>
      <c r="E16" s="22" t="s">
        <v>140</v>
      </c>
      <c r="F16" s="23" t="s">
        <v>141</v>
      </c>
      <c r="G16" s="24" t="s">
        <v>17</v>
      </c>
      <c r="H16" s="25" t="n">
        <f aca="false">IFERROR(INDEX(Config!$B$3:$B$8,MATCH($G16,Config!$A$3:$A$8,0)),0)</f>
        <v>0</v>
      </c>
      <c r="I16" s="26" t="n">
        <f aca="false">IFERROR(INDEX(Config!$C$3:$C$8,MATCH($G16,Config!$A$3:$A$8,0)),0)</f>
        <v>0</v>
      </c>
      <c r="J16" s="23" t="s">
        <v>142</v>
      </c>
    </row>
    <row r="17" customFormat="false" ht="15" hidden="false" customHeight="false" outlineLevel="0" collapsed="false">
      <c r="A17" s="21" t="n">
        <v>16</v>
      </c>
      <c r="B17" s="21" t="s">
        <v>25</v>
      </c>
      <c r="C17" s="21" t="s">
        <v>36</v>
      </c>
      <c r="D17" s="21" t="s">
        <v>37</v>
      </c>
      <c r="E17" s="22" t="s">
        <v>143</v>
      </c>
      <c r="F17" s="23" t="s">
        <v>144</v>
      </c>
      <c r="G17" s="24" t="s">
        <v>13</v>
      </c>
      <c r="H17" s="25" t="n">
        <f aca="false">IFERROR(INDEX(Config!$B$3:$B$8,MATCH($G17,Config!$A$3:$A$8,0)),0)</f>
        <v>1</v>
      </c>
      <c r="I17" s="26" t="n">
        <f aca="false">IFERROR(INDEX(Config!$C$3:$C$8,MATCH($G17,Config!$A$3:$A$8,0)),0)</f>
        <v>1</v>
      </c>
      <c r="J17" s="23" t="s">
        <v>145</v>
      </c>
    </row>
    <row r="18" customFormat="false" ht="15" hidden="false" customHeight="false" outlineLevel="0" collapsed="false">
      <c r="A18" s="21" t="n">
        <v>17</v>
      </c>
      <c r="B18" s="21" t="s">
        <v>25</v>
      </c>
      <c r="C18" s="21" t="s">
        <v>38</v>
      </c>
      <c r="D18" s="21" t="s">
        <v>39</v>
      </c>
      <c r="E18" s="22" t="s">
        <v>146</v>
      </c>
      <c r="F18" s="23" t="s">
        <v>147</v>
      </c>
      <c r="G18" s="24" t="s">
        <v>15</v>
      </c>
      <c r="H18" s="25" t="n">
        <f aca="false">IFERROR(INDEX(Config!$B$3:$B$8,MATCH($G18,Config!$A$3:$A$8,0)),0)</f>
        <v>0</v>
      </c>
      <c r="I18" s="26" t="n">
        <f aca="false">IFERROR(INDEX(Config!$C$3:$C$8,MATCH($G18,Config!$A$3:$A$8,0)),0)</f>
        <v>1</v>
      </c>
      <c r="J18" s="23"/>
    </row>
    <row r="19" customFormat="false" ht="15" hidden="false" customHeight="false" outlineLevel="0" collapsed="false">
      <c r="A19" s="21" t="n">
        <v>18</v>
      </c>
      <c r="B19" s="21" t="s">
        <v>25</v>
      </c>
      <c r="C19" s="21" t="s">
        <v>38</v>
      </c>
      <c r="D19" s="21" t="s">
        <v>39</v>
      </c>
      <c r="E19" s="22" t="s">
        <v>148</v>
      </c>
      <c r="F19" s="23" t="s">
        <v>149</v>
      </c>
      <c r="G19" s="24" t="s">
        <v>13</v>
      </c>
      <c r="H19" s="25" t="n">
        <f aca="false">IFERROR(INDEX(Config!$B$3:$B$8,MATCH($G19,Config!$A$3:$A$8,0)),0)</f>
        <v>1</v>
      </c>
      <c r="I19" s="26" t="n">
        <f aca="false">IFERROR(INDEX(Config!$C$3:$C$8,MATCH($G19,Config!$A$3:$A$8,0)),0)</f>
        <v>1</v>
      </c>
      <c r="J19" s="23" t="s">
        <v>150</v>
      </c>
    </row>
    <row r="20" customFormat="false" ht="23.85" hidden="false" customHeight="false" outlineLevel="0" collapsed="false">
      <c r="A20" s="21" t="n">
        <v>19</v>
      </c>
      <c r="B20" s="21" t="s">
        <v>25</v>
      </c>
      <c r="C20" s="21" t="s">
        <v>38</v>
      </c>
      <c r="D20" s="21" t="s">
        <v>39</v>
      </c>
      <c r="E20" s="22" t="s">
        <v>151</v>
      </c>
      <c r="F20" s="23" t="s">
        <v>152</v>
      </c>
      <c r="G20" s="24" t="s">
        <v>14</v>
      </c>
      <c r="H20" s="25" t="n">
        <f aca="false">IFERROR(INDEX(Config!$B$3:$B$8,MATCH($G20,Config!$A$3:$A$8,0)),0)</f>
        <v>0.5</v>
      </c>
      <c r="I20" s="26" t="n">
        <f aca="false">IFERROR(INDEX(Config!$C$3:$C$8,MATCH($G20,Config!$A$3:$A$8,0)),0)</f>
        <v>1</v>
      </c>
      <c r="J20" s="23" t="s">
        <v>153</v>
      </c>
    </row>
    <row r="21" customFormat="false" ht="15" hidden="false" customHeight="false" outlineLevel="0" collapsed="false">
      <c r="A21" s="21" t="n">
        <v>20</v>
      </c>
      <c r="B21" s="21" t="s">
        <v>25</v>
      </c>
      <c r="C21" s="21" t="s">
        <v>38</v>
      </c>
      <c r="D21" s="21" t="s">
        <v>39</v>
      </c>
      <c r="E21" s="22" t="s">
        <v>154</v>
      </c>
      <c r="F21" s="23" t="s">
        <v>155</v>
      </c>
      <c r="G21" s="24" t="s">
        <v>14</v>
      </c>
      <c r="H21" s="25" t="n">
        <f aca="false">IFERROR(INDEX(Config!$B$3:$B$8,MATCH($G21,Config!$A$3:$A$8,0)),0)</f>
        <v>0.5</v>
      </c>
      <c r="I21" s="26" t="n">
        <f aca="false">IFERROR(INDEX(Config!$C$3:$C$8,MATCH($G21,Config!$A$3:$A$8,0)),0)</f>
        <v>1</v>
      </c>
      <c r="J21" s="23" t="s">
        <v>156</v>
      </c>
    </row>
    <row r="22" customFormat="false" ht="15" hidden="false" customHeight="false" outlineLevel="0" collapsed="false">
      <c r="A22" s="21" t="n">
        <v>21</v>
      </c>
      <c r="B22" s="21" t="s">
        <v>25</v>
      </c>
      <c r="C22" s="21" t="s">
        <v>38</v>
      </c>
      <c r="D22" s="21" t="s">
        <v>39</v>
      </c>
      <c r="E22" s="22" t="s">
        <v>157</v>
      </c>
      <c r="F22" s="23" t="s">
        <v>158</v>
      </c>
      <c r="G22" s="24" t="s">
        <v>15</v>
      </c>
      <c r="H22" s="25" t="n">
        <f aca="false">IFERROR(INDEX(Config!$B$3:$B$8,MATCH($G22,Config!$A$3:$A$8,0)),0)</f>
        <v>0</v>
      </c>
      <c r="I22" s="26" t="n">
        <f aca="false">IFERROR(INDEX(Config!$C$3:$C$8,MATCH($G22,Config!$A$3:$A$8,0)),0)</f>
        <v>1</v>
      </c>
      <c r="J22" s="23" t="s">
        <v>159</v>
      </c>
    </row>
    <row r="23" customFormat="false" ht="15" hidden="false" customHeight="false" outlineLevel="0" collapsed="false">
      <c r="A23" s="21" t="n">
        <v>22</v>
      </c>
      <c r="B23" s="21" t="s">
        <v>25</v>
      </c>
      <c r="C23" s="21" t="s">
        <v>38</v>
      </c>
      <c r="D23" s="21" t="s">
        <v>39</v>
      </c>
      <c r="E23" s="22" t="s">
        <v>160</v>
      </c>
      <c r="F23" s="23" t="s">
        <v>161</v>
      </c>
      <c r="G23" s="24" t="s">
        <v>13</v>
      </c>
      <c r="H23" s="25" t="n">
        <f aca="false">IFERROR(INDEX(Config!$B$3:$B$8,MATCH($G23,Config!$A$3:$A$8,0)),0)</f>
        <v>1</v>
      </c>
      <c r="I23" s="26" t="n">
        <f aca="false">IFERROR(INDEX(Config!$C$3:$C$8,MATCH($G23,Config!$A$3:$A$8,0)),0)</f>
        <v>1</v>
      </c>
      <c r="J23" s="23" t="s">
        <v>162</v>
      </c>
    </row>
    <row r="24" customFormat="false" ht="15" hidden="false" customHeight="false" outlineLevel="0" collapsed="false">
      <c r="A24" s="21" t="n">
        <v>23</v>
      </c>
      <c r="B24" s="21" t="s">
        <v>25</v>
      </c>
      <c r="C24" s="21" t="s">
        <v>38</v>
      </c>
      <c r="D24" s="21" t="s">
        <v>39</v>
      </c>
      <c r="E24" s="22" t="s">
        <v>163</v>
      </c>
      <c r="F24" s="23" t="s">
        <v>164</v>
      </c>
      <c r="G24" s="24" t="s">
        <v>15</v>
      </c>
      <c r="H24" s="25" t="n">
        <f aca="false">IFERROR(INDEX(Config!$B$3:$B$8,MATCH($G24,Config!$A$3:$A$8,0)),0)</f>
        <v>0</v>
      </c>
      <c r="I24" s="26" t="n">
        <f aca="false">IFERROR(INDEX(Config!$C$3:$C$8,MATCH($G24,Config!$A$3:$A$8,0)),0)</f>
        <v>1</v>
      </c>
      <c r="J24" s="23" t="s">
        <v>165</v>
      </c>
    </row>
    <row r="25" customFormat="false" ht="23.85" hidden="false" customHeight="false" outlineLevel="0" collapsed="false">
      <c r="A25" s="21" t="n">
        <v>24</v>
      </c>
      <c r="B25" s="21" t="s">
        <v>25</v>
      </c>
      <c r="C25" s="21" t="s">
        <v>40</v>
      </c>
      <c r="D25" s="21" t="s">
        <v>41</v>
      </c>
      <c r="E25" s="22" t="s">
        <v>166</v>
      </c>
      <c r="F25" s="23" t="s">
        <v>167</v>
      </c>
      <c r="G25" s="24" t="s">
        <v>14</v>
      </c>
      <c r="H25" s="25" t="n">
        <f aca="false">IFERROR(INDEX(Config!$B$3:$B$8,MATCH($G25,Config!$A$3:$A$8,0)),0)</f>
        <v>0.5</v>
      </c>
      <c r="I25" s="26" t="n">
        <f aca="false">IFERROR(INDEX(Config!$C$3:$C$8,MATCH($G25,Config!$A$3:$A$8,0)),0)</f>
        <v>1</v>
      </c>
      <c r="J25" s="23" t="s">
        <v>168</v>
      </c>
    </row>
    <row r="26" customFormat="false" ht="23.85" hidden="false" customHeight="false" outlineLevel="0" collapsed="false">
      <c r="A26" s="21" t="n">
        <v>25</v>
      </c>
      <c r="B26" s="21" t="s">
        <v>25</v>
      </c>
      <c r="C26" s="21" t="s">
        <v>40</v>
      </c>
      <c r="D26" s="21" t="s">
        <v>41</v>
      </c>
      <c r="E26" s="22" t="s">
        <v>169</v>
      </c>
      <c r="F26" s="23" t="s">
        <v>170</v>
      </c>
      <c r="G26" s="24" t="s">
        <v>13</v>
      </c>
      <c r="H26" s="25" t="n">
        <f aca="false">IFERROR(INDEX(Config!$B$3:$B$8,MATCH($G26,Config!$A$3:$A$8,0)),0)</f>
        <v>1</v>
      </c>
      <c r="I26" s="26" t="n">
        <f aca="false">IFERROR(INDEX(Config!$C$3:$C$8,MATCH($G26,Config!$A$3:$A$8,0)),0)</f>
        <v>1</v>
      </c>
      <c r="J26" s="23" t="s">
        <v>171</v>
      </c>
    </row>
    <row r="27" customFormat="false" ht="23.85" hidden="false" customHeight="false" outlineLevel="0" collapsed="false">
      <c r="A27" s="21" t="n">
        <v>26</v>
      </c>
      <c r="B27" s="21" t="s">
        <v>25</v>
      </c>
      <c r="C27" s="21" t="s">
        <v>40</v>
      </c>
      <c r="D27" s="21" t="s">
        <v>41</v>
      </c>
      <c r="E27" s="22" t="s">
        <v>172</v>
      </c>
      <c r="F27" s="23" t="s">
        <v>173</v>
      </c>
      <c r="G27" s="24" t="s">
        <v>15</v>
      </c>
      <c r="H27" s="25" t="n">
        <f aca="false">IFERROR(INDEX(Config!$B$3:$B$8,MATCH($G27,Config!$A$3:$A$8,0)),0)</f>
        <v>0</v>
      </c>
      <c r="I27" s="26" t="n">
        <f aca="false">IFERROR(INDEX(Config!$C$3:$C$8,MATCH($G27,Config!$A$3:$A$8,0)),0)</f>
        <v>1</v>
      </c>
      <c r="J27" s="23" t="s">
        <v>174</v>
      </c>
    </row>
    <row r="28" customFormat="false" ht="15" hidden="false" customHeight="false" outlineLevel="0" collapsed="false">
      <c r="A28" s="21" t="n">
        <v>27</v>
      </c>
      <c r="B28" s="21" t="s">
        <v>25</v>
      </c>
      <c r="C28" s="21" t="s">
        <v>40</v>
      </c>
      <c r="D28" s="21" t="s">
        <v>41</v>
      </c>
      <c r="E28" s="22" t="s">
        <v>175</v>
      </c>
      <c r="F28" s="23" t="s">
        <v>176</v>
      </c>
      <c r="G28" s="24" t="s">
        <v>15</v>
      </c>
      <c r="H28" s="25" t="n">
        <f aca="false">IFERROR(INDEX(Config!$B$3:$B$8,MATCH($G28,Config!$A$3:$A$8,0)),0)</f>
        <v>0</v>
      </c>
      <c r="I28" s="26" t="n">
        <f aca="false">IFERROR(INDEX(Config!$C$3:$C$8,MATCH($G28,Config!$A$3:$A$8,0)),0)</f>
        <v>1</v>
      </c>
      <c r="J28" s="23" t="s">
        <v>177</v>
      </c>
    </row>
    <row r="29" customFormat="false" ht="23.85" hidden="false" customHeight="false" outlineLevel="0" collapsed="false">
      <c r="A29" s="21" t="n">
        <v>28</v>
      </c>
      <c r="B29" s="21" t="s">
        <v>25</v>
      </c>
      <c r="C29" s="21" t="s">
        <v>40</v>
      </c>
      <c r="D29" s="21" t="s">
        <v>41</v>
      </c>
      <c r="E29" s="22" t="s">
        <v>178</v>
      </c>
      <c r="F29" s="23" t="s">
        <v>179</v>
      </c>
      <c r="G29" s="24" t="s">
        <v>13</v>
      </c>
      <c r="H29" s="25" t="n">
        <f aca="false">IFERROR(INDEX(Config!$B$3:$B$8,MATCH($G29,Config!$A$3:$A$8,0)),0)</f>
        <v>1</v>
      </c>
      <c r="I29" s="26" t="n">
        <f aca="false">IFERROR(INDEX(Config!$C$3:$C$8,MATCH($G29,Config!$A$3:$A$8,0)),0)</f>
        <v>1</v>
      </c>
      <c r="J29" s="23" t="s">
        <v>180</v>
      </c>
    </row>
    <row r="30" customFormat="false" ht="23.85" hidden="false" customHeight="false" outlineLevel="0" collapsed="false">
      <c r="A30" s="21" t="n">
        <v>29</v>
      </c>
      <c r="B30" s="21" t="s">
        <v>25</v>
      </c>
      <c r="C30" s="21" t="s">
        <v>40</v>
      </c>
      <c r="D30" s="21" t="s">
        <v>41</v>
      </c>
      <c r="E30" s="22" t="s">
        <v>181</v>
      </c>
      <c r="F30" s="23" t="s">
        <v>182</v>
      </c>
      <c r="G30" s="24" t="s">
        <v>13</v>
      </c>
      <c r="H30" s="25" t="n">
        <f aca="false">IFERROR(INDEX(Config!$B$3:$B$8,MATCH($G30,Config!$A$3:$A$8,0)),0)</f>
        <v>1</v>
      </c>
      <c r="I30" s="26" t="n">
        <f aca="false">IFERROR(INDEX(Config!$C$3:$C$8,MATCH($G30,Config!$A$3:$A$8,0)),0)</f>
        <v>1</v>
      </c>
      <c r="J30" s="23" t="s">
        <v>183</v>
      </c>
    </row>
    <row r="31" customFormat="false" ht="23.85" hidden="false" customHeight="false" outlineLevel="0" collapsed="false">
      <c r="A31" s="21" t="n">
        <v>30</v>
      </c>
      <c r="B31" s="21" t="s">
        <v>25</v>
      </c>
      <c r="C31" s="21" t="s">
        <v>40</v>
      </c>
      <c r="D31" s="21" t="s">
        <v>41</v>
      </c>
      <c r="E31" s="22" t="s">
        <v>184</v>
      </c>
      <c r="F31" s="23" t="s">
        <v>185</v>
      </c>
      <c r="G31" s="24" t="s">
        <v>13</v>
      </c>
      <c r="H31" s="25" t="n">
        <f aca="false">IFERROR(INDEX(Config!$B$3:$B$8,MATCH($G31,Config!$A$3:$A$8,0)),0)</f>
        <v>1</v>
      </c>
      <c r="I31" s="26" t="n">
        <f aca="false">IFERROR(INDEX(Config!$C$3:$C$8,MATCH($G31,Config!$A$3:$A$8,0)),0)</f>
        <v>1</v>
      </c>
      <c r="J31" s="23" t="s">
        <v>186</v>
      </c>
    </row>
    <row r="32" customFormat="false" ht="23.85" hidden="false" customHeight="false" outlineLevel="0" collapsed="false">
      <c r="A32" s="21" t="n">
        <v>31</v>
      </c>
      <c r="B32" s="21" t="s">
        <v>25</v>
      </c>
      <c r="C32" s="21" t="s">
        <v>40</v>
      </c>
      <c r="D32" s="21" t="s">
        <v>41</v>
      </c>
      <c r="E32" s="22" t="s">
        <v>187</v>
      </c>
      <c r="F32" s="23" t="s">
        <v>188</v>
      </c>
      <c r="G32" s="24" t="s">
        <v>15</v>
      </c>
      <c r="H32" s="25" t="n">
        <f aca="false">IFERROR(INDEX(Config!$B$3:$B$8,MATCH($G32,Config!$A$3:$A$8,0)),0)</f>
        <v>0</v>
      </c>
      <c r="I32" s="26" t="n">
        <f aca="false">IFERROR(INDEX(Config!$C$3:$C$8,MATCH($G32,Config!$A$3:$A$8,0)),0)</f>
        <v>1</v>
      </c>
      <c r="J32" s="23" t="s">
        <v>189</v>
      </c>
    </row>
    <row r="33" customFormat="false" ht="15" hidden="false" customHeight="false" outlineLevel="0" collapsed="false">
      <c r="A33" s="21" t="n">
        <v>32</v>
      </c>
      <c r="B33" s="21" t="s">
        <v>25</v>
      </c>
      <c r="C33" s="21" t="s">
        <v>40</v>
      </c>
      <c r="D33" s="21" t="s">
        <v>41</v>
      </c>
      <c r="E33" s="22" t="s">
        <v>190</v>
      </c>
      <c r="F33" s="23" t="s">
        <v>191</v>
      </c>
      <c r="G33" s="24" t="s">
        <v>15</v>
      </c>
      <c r="H33" s="25" t="n">
        <f aca="false">IFERROR(INDEX(Config!$B$3:$B$8,MATCH($G33,Config!$A$3:$A$8,0)),0)</f>
        <v>0</v>
      </c>
      <c r="I33" s="26" t="n">
        <f aca="false">IFERROR(INDEX(Config!$C$3:$C$8,MATCH($G33,Config!$A$3:$A$8,0)),0)</f>
        <v>1</v>
      </c>
      <c r="J33" s="23" t="s">
        <v>192</v>
      </c>
    </row>
    <row r="34" customFormat="false" ht="23.85" hidden="false" customHeight="false" outlineLevel="0" collapsed="false">
      <c r="A34" s="21" t="n">
        <v>33</v>
      </c>
      <c r="B34" s="21" t="s">
        <v>25</v>
      </c>
      <c r="C34" s="21" t="s">
        <v>40</v>
      </c>
      <c r="D34" s="21" t="s">
        <v>41</v>
      </c>
      <c r="E34" s="22" t="s">
        <v>193</v>
      </c>
      <c r="F34" s="23" t="s">
        <v>194</v>
      </c>
      <c r="G34" s="24" t="s">
        <v>14</v>
      </c>
      <c r="H34" s="25" t="n">
        <f aca="false">IFERROR(INDEX(Config!$B$3:$B$8,MATCH($G34,Config!$A$3:$A$8,0)),0)</f>
        <v>0.5</v>
      </c>
      <c r="I34" s="26" t="n">
        <f aca="false">IFERROR(INDEX(Config!$C$3:$C$8,MATCH($G34,Config!$A$3:$A$8,0)),0)</f>
        <v>1</v>
      </c>
      <c r="J34" s="23" t="s">
        <v>195</v>
      </c>
    </row>
    <row r="35" customFormat="false" ht="15" hidden="false" customHeight="false" outlineLevel="0" collapsed="false">
      <c r="A35" s="21" t="n">
        <v>34</v>
      </c>
      <c r="B35" s="21" t="s">
        <v>25</v>
      </c>
      <c r="C35" s="21" t="s">
        <v>40</v>
      </c>
      <c r="D35" s="21" t="s">
        <v>41</v>
      </c>
      <c r="E35" s="22" t="s">
        <v>196</v>
      </c>
      <c r="F35" s="23" t="s">
        <v>197</v>
      </c>
      <c r="G35" s="24" t="s">
        <v>15</v>
      </c>
      <c r="H35" s="25" t="n">
        <f aca="false">IFERROR(INDEX(Config!$B$3:$B$8,MATCH($G35,Config!$A$3:$A$8,0)),0)</f>
        <v>0</v>
      </c>
      <c r="I35" s="26" t="n">
        <f aca="false">IFERROR(INDEX(Config!$C$3:$C$8,MATCH($G35,Config!$A$3:$A$8,0)),0)</f>
        <v>1</v>
      </c>
      <c r="J35" s="23" t="s">
        <v>198</v>
      </c>
    </row>
    <row r="36" customFormat="false" ht="23.85" hidden="false" customHeight="false" outlineLevel="0" collapsed="false">
      <c r="A36" s="21" t="n">
        <v>35</v>
      </c>
      <c r="B36" s="21" t="s">
        <v>25</v>
      </c>
      <c r="C36" s="21" t="s">
        <v>40</v>
      </c>
      <c r="D36" s="21" t="s">
        <v>41</v>
      </c>
      <c r="E36" s="22" t="s">
        <v>199</v>
      </c>
      <c r="F36" s="23" t="s">
        <v>200</v>
      </c>
      <c r="G36" s="24" t="s">
        <v>15</v>
      </c>
      <c r="H36" s="25" t="n">
        <f aca="false">IFERROR(INDEX(Config!$B$3:$B$8,MATCH($G36,Config!$A$3:$A$8,0)),0)</f>
        <v>0</v>
      </c>
      <c r="I36" s="26" t="n">
        <f aca="false">IFERROR(INDEX(Config!$C$3:$C$8,MATCH($G36,Config!$A$3:$A$8,0)),0)</f>
        <v>1</v>
      </c>
      <c r="J36" s="23" t="s">
        <v>201</v>
      </c>
    </row>
    <row r="37" customFormat="false" ht="15" hidden="false" customHeight="false" outlineLevel="0" collapsed="false">
      <c r="A37" s="21" t="n">
        <v>36</v>
      </c>
      <c r="B37" s="21" t="s">
        <v>25</v>
      </c>
      <c r="C37" s="21" t="s">
        <v>40</v>
      </c>
      <c r="D37" s="21" t="s">
        <v>41</v>
      </c>
      <c r="E37" s="22" t="s">
        <v>202</v>
      </c>
      <c r="F37" s="23" t="s">
        <v>203</v>
      </c>
      <c r="G37" s="24" t="s">
        <v>15</v>
      </c>
      <c r="H37" s="25" t="n">
        <f aca="false">IFERROR(INDEX(Config!$B$3:$B$8,MATCH($G37,Config!$A$3:$A$8,0)),0)</f>
        <v>0</v>
      </c>
      <c r="I37" s="26" t="n">
        <f aca="false">IFERROR(INDEX(Config!$C$3:$C$8,MATCH($G37,Config!$A$3:$A$8,0)),0)</f>
        <v>1</v>
      </c>
      <c r="J37" s="23"/>
    </row>
    <row r="38" customFormat="false" ht="23.85" hidden="false" customHeight="false" outlineLevel="0" collapsed="false">
      <c r="A38" s="21" t="n">
        <v>37</v>
      </c>
      <c r="B38" s="21" t="s">
        <v>25</v>
      </c>
      <c r="C38" s="21" t="s">
        <v>40</v>
      </c>
      <c r="D38" s="21" t="s">
        <v>41</v>
      </c>
      <c r="E38" s="22" t="s">
        <v>204</v>
      </c>
      <c r="F38" s="23" t="s">
        <v>205</v>
      </c>
      <c r="G38" s="24" t="s">
        <v>14</v>
      </c>
      <c r="H38" s="25" t="n">
        <f aca="false">IFERROR(INDEX(Config!$B$3:$B$8,MATCH($G38,Config!$A$3:$A$8,0)),0)</f>
        <v>0.5</v>
      </c>
      <c r="I38" s="26" t="n">
        <f aca="false">IFERROR(INDEX(Config!$C$3:$C$8,MATCH($G38,Config!$A$3:$A$8,0)),0)</f>
        <v>1</v>
      </c>
      <c r="J38" s="23" t="s">
        <v>206</v>
      </c>
    </row>
    <row r="39" customFormat="false" ht="23.85" hidden="false" customHeight="false" outlineLevel="0" collapsed="false">
      <c r="A39" s="21" t="n">
        <v>38</v>
      </c>
      <c r="B39" s="21" t="s">
        <v>25</v>
      </c>
      <c r="C39" s="21" t="s">
        <v>40</v>
      </c>
      <c r="D39" s="21" t="s">
        <v>41</v>
      </c>
      <c r="E39" s="22" t="s">
        <v>207</v>
      </c>
      <c r="F39" s="23" t="s">
        <v>208</v>
      </c>
      <c r="G39" s="24" t="s">
        <v>13</v>
      </c>
      <c r="H39" s="25" t="n">
        <f aca="false">IFERROR(INDEX(Config!$B$3:$B$8,MATCH($G39,Config!$A$3:$A$8,0)),0)</f>
        <v>1</v>
      </c>
      <c r="I39" s="26" t="n">
        <f aca="false">IFERROR(INDEX(Config!$C$3:$C$8,MATCH($G39,Config!$A$3:$A$8,0)),0)</f>
        <v>1</v>
      </c>
      <c r="J39" s="23" t="s">
        <v>209</v>
      </c>
    </row>
    <row r="40" customFormat="false" ht="15" hidden="false" customHeight="false" outlineLevel="0" collapsed="false">
      <c r="A40" s="21" t="n">
        <v>39</v>
      </c>
      <c r="B40" s="21" t="s">
        <v>25</v>
      </c>
      <c r="C40" s="21" t="s">
        <v>40</v>
      </c>
      <c r="D40" s="21" t="s">
        <v>41</v>
      </c>
      <c r="E40" s="22" t="s">
        <v>210</v>
      </c>
      <c r="F40" s="23" t="s">
        <v>211</v>
      </c>
      <c r="G40" s="24" t="s">
        <v>15</v>
      </c>
      <c r="H40" s="25" t="n">
        <f aca="false">IFERROR(INDEX(Config!$B$3:$B$8,MATCH($G40,Config!$A$3:$A$8,0)),0)</f>
        <v>0</v>
      </c>
      <c r="I40" s="26" t="n">
        <f aca="false">IFERROR(INDEX(Config!$C$3:$C$8,MATCH($G40,Config!$A$3:$A$8,0)),0)</f>
        <v>1</v>
      </c>
      <c r="J40" s="23"/>
    </row>
    <row r="41" customFormat="false" ht="15" hidden="false" customHeight="false" outlineLevel="0" collapsed="false">
      <c r="A41" s="21" t="n">
        <v>40</v>
      </c>
      <c r="B41" s="21" t="s">
        <v>26</v>
      </c>
      <c r="C41" s="21" t="s">
        <v>42</v>
      </c>
      <c r="D41" s="21" t="s">
        <v>43</v>
      </c>
      <c r="E41" s="22" t="s">
        <v>212</v>
      </c>
      <c r="F41" s="23" t="s">
        <v>213</v>
      </c>
      <c r="G41" s="24" t="s">
        <v>15</v>
      </c>
      <c r="H41" s="25" t="n">
        <f aca="false">IFERROR(INDEX(Config!$B$3:$B$8,MATCH($G41,Config!$A$3:$A$8,0)),0)</f>
        <v>0</v>
      </c>
      <c r="I41" s="26" t="n">
        <f aca="false">IFERROR(INDEX(Config!$C$3:$C$8,MATCH($G41,Config!$A$3:$A$8,0)),0)</f>
        <v>1</v>
      </c>
      <c r="J41" s="23" t="s">
        <v>214</v>
      </c>
    </row>
    <row r="42" customFormat="false" ht="15" hidden="false" customHeight="false" outlineLevel="0" collapsed="false">
      <c r="A42" s="21" t="n">
        <v>41</v>
      </c>
      <c r="B42" s="21" t="s">
        <v>26</v>
      </c>
      <c r="C42" s="21" t="s">
        <v>42</v>
      </c>
      <c r="D42" s="21" t="s">
        <v>43</v>
      </c>
      <c r="E42" s="22" t="s">
        <v>215</v>
      </c>
      <c r="F42" s="23" t="s">
        <v>216</v>
      </c>
      <c r="G42" s="24" t="s">
        <v>15</v>
      </c>
      <c r="H42" s="25" t="n">
        <f aca="false">IFERROR(INDEX(Config!$B$3:$B$8,MATCH($G42,Config!$A$3:$A$8,0)),0)</f>
        <v>0</v>
      </c>
      <c r="I42" s="26" t="n">
        <f aca="false">IFERROR(INDEX(Config!$C$3:$C$8,MATCH($G42,Config!$A$3:$A$8,0)),0)</f>
        <v>1</v>
      </c>
      <c r="J42" s="23" t="s">
        <v>217</v>
      </c>
    </row>
    <row r="43" customFormat="false" ht="15" hidden="false" customHeight="false" outlineLevel="0" collapsed="false">
      <c r="A43" s="21" t="n">
        <v>42</v>
      </c>
      <c r="B43" s="21" t="s">
        <v>26</v>
      </c>
      <c r="C43" s="21" t="s">
        <v>42</v>
      </c>
      <c r="D43" s="21" t="s">
        <v>43</v>
      </c>
      <c r="E43" s="22" t="s">
        <v>218</v>
      </c>
      <c r="F43" s="23" t="s">
        <v>219</v>
      </c>
      <c r="G43" s="24" t="s">
        <v>13</v>
      </c>
      <c r="H43" s="25" t="n">
        <f aca="false">IFERROR(INDEX(Config!$B$3:$B$8,MATCH($G43,Config!$A$3:$A$8,0)),0)</f>
        <v>1</v>
      </c>
      <c r="I43" s="26" t="n">
        <f aca="false">IFERROR(INDEX(Config!$C$3:$C$8,MATCH($G43,Config!$A$3:$A$8,0)),0)</f>
        <v>1</v>
      </c>
      <c r="J43" s="23" t="s">
        <v>220</v>
      </c>
    </row>
    <row r="44" customFormat="false" ht="15" hidden="false" customHeight="false" outlineLevel="0" collapsed="false">
      <c r="A44" s="21" t="n">
        <v>43</v>
      </c>
      <c r="B44" s="21" t="s">
        <v>26</v>
      </c>
      <c r="C44" s="21" t="s">
        <v>42</v>
      </c>
      <c r="D44" s="21" t="s">
        <v>43</v>
      </c>
      <c r="E44" s="22" t="s">
        <v>221</v>
      </c>
      <c r="F44" s="23" t="s">
        <v>222</v>
      </c>
      <c r="G44" s="24" t="s">
        <v>14</v>
      </c>
      <c r="H44" s="25" t="n">
        <f aca="false">IFERROR(INDEX(Config!$B$3:$B$8,MATCH($G44,Config!$A$3:$A$8,0)),0)</f>
        <v>0.5</v>
      </c>
      <c r="I44" s="26" t="n">
        <f aca="false">IFERROR(INDEX(Config!$C$3:$C$8,MATCH($G44,Config!$A$3:$A$8,0)),0)</f>
        <v>1</v>
      </c>
      <c r="J44" s="23" t="s">
        <v>223</v>
      </c>
    </row>
    <row r="45" customFormat="false" ht="23.85" hidden="false" customHeight="false" outlineLevel="0" collapsed="false">
      <c r="A45" s="21" t="n">
        <v>44</v>
      </c>
      <c r="B45" s="21" t="s">
        <v>26</v>
      </c>
      <c r="C45" s="21" t="s">
        <v>42</v>
      </c>
      <c r="D45" s="21" t="s">
        <v>43</v>
      </c>
      <c r="E45" s="22" t="s">
        <v>224</v>
      </c>
      <c r="F45" s="23" t="s">
        <v>225</v>
      </c>
      <c r="G45" s="24" t="s">
        <v>14</v>
      </c>
      <c r="H45" s="25" t="n">
        <f aca="false">IFERROR(INDEX(Config!$B$3:$B$8,MATCH($G45,Config!$A$3:$A$8,0)),0)</f>
        <v>0.5</v>
      </c>
      <c r="I45" s="26" t="n">
        <f aca="false">IFERROR(INDEX(Config!$C$3:$C$8,MATCH($G45,Config!$A$3:$A$8,0)),0)</f>
        <v>1</v>
      </c>
      <c r="J45" s="23" t="s">
        <v>226</v>
      </c>
    </row>
    <row r="46" customFormat="false" ht="23.85" hidden="false" customHeight="false" outlineLevel="0" collapsed="false">
      <c r="A46" s="21" t="n">
        <v>45</v>
      </c>
      <c r="B46" s="21" t="s">
        <v>26</v>
      </c>
      <c r="C46" s="21" t="s">
        <v>42</v>
      </c>
      <c r="D46" s="21" t="s">
        <v>43</v>
      </c>
      <c r="E46" s="22" t="s">
        <v>227</v>
      </c>
      <c r="F46" s="23" t="s">
        <v>228</v>
      </c>
      <c r="G46" s="24" t="s">
        <v>14</v>
      </c>
      <c r="H46" s="25" t="n">
        <f aca="false">IFERROR(INDEX(Config!$B$3:$B$8,MATCH($G46,Config!$A$3:$A$8,0)),0)</f>
        <v>0.5</v>
      </c>
      <c r="I46" s="26" t="n">
        <f aca="false">IFERROR(INDEX(Config!$C$3:$C$8,MATCH($G46,Config!$A$3:$A$8,0)),0)</f>
        <v>1</v>
      </c>
      <c r="J46" s="23" t="s">
        <v>229</v>
      </c>
    </row>
    <row r="47" customFormat="false" ht="15" hidden="false" customHeight="false" outlineLevel="0" collapsed="false">
      <c r="A47" s="21" t="n">
        <v>46</v>
      </c>
      <c r="B47" s="21" t="s">
        <v>26</v>
      </c>
      <c r="C47" s="21" t="s">
        <v>42</v>
      </c>
      <c r="D47" s="21" t="s">
        <v>43</v>
      </c>
      <c r="E47" s="22" t="s">
        <v>230</v>
      </c>
      <c r="F47" s="23" t="s">
        <v>231</v>
      </c>
      <c r="G47" s="24" t="s">
        <v>13</v>
      </c>
      <c r="H47" s="25" t="n">
        <f aca="false">IFERROR(INDEX(Config!$B$3:$B$8,MATCH($G47,Config!$A$3:$A$8,0)),0)</f>
        <v>1</v>
      </c>
      <c r="I47" s="26" t="n">
        <f aca="false">IFERROR(INDEX(Config!$C$3:$C$8,MATCH($G47,Config!$A$3:$A$8,0)),0)</f>
        <v>1</v>
      </c>
      <c r="J47" s="23" t="s">
        <v>232</v>
      </c>
    </row>
    <row r="48" customFormat="false" ht="23.85" hidden="false" customHeight="false" outlineLevel="0" collapsed="false">
      <c r="A48" s="21" t="n">
        <v>47</v>
      </c>
      <c r="B48" s="21" t="s">
        <v>26</v>
      </c>
      <c r="C48" s="21" t="s">
        <v>42</v>
      </c>
      <c r="D48" s="21" t="s">
        <v>43</v>
      </c>
      <c r="E48" s="22" t="s">
        <v>233</v>
      </c>
      <c r="F48" s="23" t="s">
        <v>234</v>
      </c>
      <c r="G48" s="24" t="s">
        <v>13</v>
      </c>
      <c r="H48" s="25" t="n">
        <f aca="false">IFERROR(INDEX(Config!$B$3:$B$8,MATCH($G48,Config!$A$3:$A$8,0)),0)</f>
        <v>1</v>
      </c>
      <c r="I48" s="26" t="n">
        <f aca="false">IFERROR(INDEX(Config!$C$3:$C$8,MATCH($G48,Config!$A$3:$A$8,0)),0)</f>
        <v>1</v>
      </c>
      <c r="J48" s="23" t="s">
        <v>235</v>
      </c>
    </row>
    <row r="49" customFormat="false" ht="23.85" hidden="false" customHeight="false" outlineLevel="0" collapsed="false">
      <c r="A49" s="21" t="n">
        <v>48</v>
      </c>
      <c r="B49" s="21" t="s">
        <v>26</v>
      </c>
      <c r="C49" s="21" t="s">
        <v>42</v>
      </c>
      <c r="D49" s="21" t="s">
        <v>43</v>
      </c>
      <c r="E49" s="22" t="s">
        <v>236</v>
      </c>
      <c r="F49" s="23" t="s">
        <v>237</v>
      </c>
      <c r="G49" s="24" t="s">
        <v>14</v>
      </c>
      <c r="H49" s="25" t="n">
        <f aca="false">IFERROR(INDEX(Config!$B$3:$B$8,MATCH($G49,Config!$A$3:$A$8,0)),0)</f>
        <v>0.5</v>
      </c>
      <c r="I49" s="26" t="n">
        <f aca="false">IFERROR(INDEX(Config!$C$3:$C$8,MATCH($G49,Config!$A$3:$A$8,0)),0)</f>
        <v>1</v>
      </c>
      <c r="J49" s="23" t="s">
        <v>238</v>
      </c>
    </row>
    <row r="50" customFormat="false" ht="15" hidden="false" customHeight="false" outlineLevel="0" collapsed="false">
      <c r="A50" s="21" t="n">
        <v>49</v>
      </c>
      <c r="B50" s="21" t="s">
        <v>26</v>
      </c>
      <c r="C50" s="21" t="s">
        <v>42</v>
      </c>
      <c r="D50" s="21" t="s">
        <v>43</v>
      </c>
      <c r="E50" s="22" t="s">
        <v>239</v>
      </c>
      <c r="F50" s="23" t="s">
        <v>240</v>
      </c>
      <c r="G50" s="24" t="s">
        <v>14</v>
      </c>
      <c r="H50" s="25" t="n">
        <f aca="false">IFERROR(INDEX(Config!$B$3:$B$8,MATCH($G50,Config!$A$3:$A$8,0)),0)</f>
        <v>0.5</v>
      </c>
      <c r="I50" s="26" t="n">
        <f aca="false">IFERROR(INDEX(Config!$C$3:$C$8,MATCH($G50,Config!$A$3:$A$8,0)),0)</f>
        <v>1</v>
      </c>
      <c r="J50" s="23" t="s">
        <v>241</v>
      </c>
    </row>
    <row r="51" customFormat="false" ht="15" hidden="false" customHeight="false" outlineLevel="0" collapsed="false">
      <c r="A51" s="21" t="n">
        <v>50</v>
      </c>
      <c r="B51" s="21" t="s">
        <v>26</v>
      </c>
      <c r="C51" s="21" t="s">
        <v>42</v>
      </c>
      <c r="D51" s="21" t="s">
        <v>43</v>
      </c>
      <c r="E51" s="22" t="s">
        <v>242</v>
      </c>
      <c r="F51" s="23" t="s">
        <v>211</v>
      </c>
      <c r="G51" s="24" t="s">
        <v>15</v>
      </c>
      <c r="H51" s="25" t="n">
        <f aca="false">IFERROR(INDEX(Config!$B$3:$B$8,MATCH($G51,Config!$A$3:$A$8,0)),0)</f>
        <v>0</v>
      </c>
      <c r="I51" s="26" t="n">
        <f aca="false">IFERROR(INDEX(Config!$C$3:$C$8,MATCH($G51,Config!$A$3:$A$8,0)),0)</f>
        <v>1</v>
      </c>
      <c r="J51" s="23"/>
    </row>
    <row r="52" customFormat="false" ht="23.85" hidden="false" customHeight="false" outlineLevel="0" collapsed="false">
      <c r="A52" s="21" t="n">
        <v>51</v>
      </c>
      <c r="B52" s="21" t="s">
        <v>26</v>
      </c>
      <c r="C52" s="21" t="s">
        <v>44</v>
      </c>
      <c r="D52" s="21" t="s">
        <v>45</v>
      </c>
      <c r="E52" s="22" t="s">
        <v>243</v>
      </c>
      <c r="F52" s="23" t="s">
        <v>244</v>
      </c>
      <c r="G52" s="24" t="s">
        <v>15</v>
      </c>
      <c r="H52" s="25" t="n">
        <f aca="false">IFERROR(INDEX(Config!$B$3:$B$8,MATCH($G52,Config!$A$3:$A$8,0)),0)</f>
        <v>0</v>
      </c>
      <c r="I52" s="26" t="n">
        <f aca="false">IFERROR(INDEX(Config!$C$3:$C$8,MATCH($G52,Config!$A$3:$A$8,0)),0)</f>
        <v>1</v>
      </c>
      <c r="J52" s="23"/>
    </row>
    <row r="53" customFormat="false" ht="15" hidden="false" customHeight="false" outlineLevel="0" collapsed="false">
      <c r="A53" s="21" t="n">
        <v>52</v>
      </c>
      <c r="B53" s="21" t="s">
        <v>26</v>
      </c>
      <c r="C53" s="21" t="s">
        <v>44</v>
      </c>
      <c r="D53" s="21" t="s">
        <v>45</v>
      </c>
      <c r="E53" s="22" t="s">
        <v>245</v>
      </c>
      <c r="F53" s="23" t="s">
        <v>246</v>
      </c>
      <c r="G53" s="24" t="s">
        <v>15</v>
      </c>
      <c r="H53" s="25" t="n">
        <f aca="false">IFERROR(INDEX(Config!$B$3:$B$8,MATCH($G53,Config!$A$3:$A$8,0)),0)</f>
        <v>0</v>
      </c>
      <c r="I53" s="26" t="n">
        <f aca="false">IFERROR(INDEX(Config!$C$3:$C$8,MATCH($G53,Config!$A$3:$A$8,0)),0)</f>
        <v>1</v>
      </c>
      <c r="J53" s="23" t="s">
        <v>247</v>
      </c>
    </row>
    <row r="54" customFormat="false" ht="15" hidden="false" customHeight="false" outlineLevel="0" collapsed="false">
      <c r="A54" s="21" t="n">
        <v>53</v>
      </c>
      <c r="B54" s="21" t="s">
        <v>26</v>
      </c>
      <c r="C54" s="21" t="s">
        <v>44</v>
      </c>
      <c r="D54" s="21" t="s">
        <v>45</v>
      </c>
      <c r="E54" s="22" t="s">
        <v>248</v>
      </c>
      <c r="F54" s="23" t="s">
        <v>249</v>
      </c>
      <c r="G54" s="24" t="s">
        <v>15</v>
      </c>
      <c r="H54" s="25" t="n">
        <f aca="false">IFERROR(INDEX(Config!$B$3:$B$8,MATCH($G54,Config!$A$3:$A$8,0)),0)</f>
        <v>0</v>
      </c>
      <c r="I54" s="26" t="n">
        <f aca="false">IFERROR(INDEX(Config!$C$3:$C$8,MATCH($G54,Config!$A$3:$A$8,0)),0)</f>
        <v>1</v>
      </c>
      <c r="J54" s="23" t="s">
        <v>250</v>
      </c>
    </row>
    <row r="55" customFormat="false" ht="15" hidden="false" customHeight="false" outlineLevel="0" collapsed="false">
      <c r="A55" s="21" t="n">
        <v>54</v>
      </c>
      <c r="B55" s="21" t="s">
        <v>26</v>
      </c>
      <c r="C55" s="21" t="s">
        <v>44</v>
      </c>
      <c r="D55" s="21" t="s">
        <v>45</v>
      </c>
      <c r="E55" s="22" t="s">
        <v>251</v>
      </c>
      <c r="F55" s="23" t="s">
        <v>252</v>
      </c>
      <c r="G55" s="24" t="s">
        <v>15</v>
      </c>
      <c r="H55" s="25" t="n">
        <f aca="false">IFERROR(INDEX(Config!$B$3:$B$8,MATCH($G55,Config!$A$3:$A$8,0)),0)</f>
        <v>0</v>
      </c>
      <c r="I55" s="26" t="n">
        <f aca="false">IFERROR(INDEX(Config!$C$3:$C$8,MATCH($G55,Config!$A$3:$A$8,0)),0)</f>
        <v>1</v>
      </c>
      <c r="J55" s="23" t="s">
        <v>253</v>
      </c>
    </row>
    <row r="56" customFormat="false" ht="15" hidden="false" customHeight="false" outlineLevel="0" collapsed="false">
      <c r="A56" s="21" t="n">
        <v>55</v>
      </c>
      <c r="B56" s="21" t="s">
        <v>26</v>
      </c>
      <c r="C56" s="21" t="s">
        <v>44</v>
      </c>
      <c r="D56" s="21" t="s">
        <v>45</v>
      </c>
      <c r="E56" s="22" t="s">
        <v>254</v>
      </c>
      <c r="F56" s="23" t="s">
        <v>255</v>
      </c>
      <c r="G56" s="24" t="s">
        <v>15</v>
      </c>
      <c r="H56" s="25" t="n">
        <f aca="false">IFERROR(INDEX(Config!$B$3:$B$8,MATCH($G56,Config!$A$3:$A$8,0)),0)</f>
        <v>0</v>
      </c>
      <c r="I56" s="26" t="n">
        <f aca="false">IFERROR(INDEX(Config!$C$3:$C$8,MATCH($G56,Config!$A$3:$A$8,0)),0)</f>
        <v>1</v>
      </c>
      <c r="J56" s="23" t="s">
        <v>256</v>
      </c>
    </row>
    <row r="57" customFormat="false" ht="23.85" hidden="false" customHeight="false" outlineLevel="0" collapsed="false">
      <c r="A57" s="21" t="n">
        <v>56</v>
      </c>
      <c r="B57" s="21" t="s">
        <v>26</v>
      </c>
      <c r="C57" s="21" t="s">
        <v>44</v>
      </c>
      <c r="D57" s="21" t="s">
        <v>45</v>
      </c>
      <c r="E57" s="22" t="s">
        <v>257</v>
      </c>
      <c r="F57" s="23" t="s">
        <v>258</v>
      </c>
      <c r="G57" s="24" t="s">
        <v>15</v>
      </c>
      <c r="H57" s="25" t="n">
        <f aca="false">IFERROR(INDEX(Config!$B$3:$B$8,MATCH($G57,Config!$A$3:$A$8,0)),0)</f>
        <v>0</v>
      </c>
      <c r="I57" s="26" t="n">
        <f aca="false">IFERROR(INDEX(Config!$C$3:$C$8,MATCH($G57,Config!$A$3:$A$8,0)),0)</f>
        <v>1</v>
      </c>
      <c r="J57" s="23" t="s">
        <v>259</v>
      </c>
    </row>
    <row r="58" customFormat="false" ht="23.85" hidden="false" customHeight="false" outlineLevel="0" collapsed="false">
      <c r="A58" s="21" t="n">
        <v>57</v>
      </c>
      <c r="B58" s="21" t="s">
        <v>26</v>
      </c>
      <c r="C58" s="21" t="s">
        <v>44</v>
      </c>
      <c r="D58" s="21" t="s">
        <v>45</v>
      </c>
      <c r="E58" s="22" t="s">
        <v>260</v>
      </c>
      <c r="F58" s="23" t="s">
        <v>261</v>
      </c>
      <c r="G58" s="24" t="s">
        <v>14</v>
      </c>
      <c r="H58" s="25" t="n">
        <f aca="false">IFERROR(INDEX(Config!$B$3:$B$8,MATCH($G58,Config!$A$3:$A$8,0)),0)</f>
        <v>0.5</v>
      </c>
      <c r="I58" s="26" t="n">
        <f aca="false">IFERROR(INDEX(Config!$C$3:$C$8,MATCH($G58,Config!$A$3:$A$8,0)),0)</f>
        <v>1</v>
      </c>
      <c r="J58" s="23" t="s">
        <v>262</v>
      </c>
    </row>
    <row r="59" customFormat="false" ht="23.85" hidden="false" customHeight="false" outlineLevel="0" collapsed="false">
      <c r="A59" s="21" t="n">
        <v>58</v>
      </c>
      <c r="B59" s="21" t="s">
        <v>26</v>
      </c>
      <c r="C59" s="21" t="s">
        <v>44</v>
      </c>
      <c r="D59" s="21" t="s">
        <v>45</v>
      </c>
      <c r="E59" s="22" t="s">
        <v>263</v>
      </c>
      <c r="F59" s="23" t="s">
        <v>264</v>
      </c>
      <c r="G59" s="24" t="s">
        <v>15</v>
      </c>
      <c r="H59" s="25" t="n">
        <f aca="false">IFERROR(INDEX(Config!$B$3:$B$8,MATCH($G59,Config!$A$3:$A$8,0)),0)</f>
        <v>0</v>
      </c>
      <c r="I59" s="26" t="n">
        <f aca="false">IFERROR(INDEX(Config!$C$3:$C$8,MATCH($G59,Config!$A$3:$A$8,0)),0)</f>
        <v>1</v>
      </c>
      <c r="J59" s="23"/>
    </row>
    <row r="60" customFormat="false" ht="15" hidden="false" customHeight="false" outlineLevel="0" collapsed="false">
      <c r="A60" s="21" t="n">
        <v>59</v>
      </c>
      <c r="B60" s="21" t="s">
        <v>26</v>
      </c>
      <c r="C60" s="21" t="s">
        <v>44</v>
      </c>
      <c r="D60" s="21" t="s">
        <v>45</v>
      </c>
      <c r="E60" s="22" t="s">
        <v>265</v>
      </c>
      <c r="F60" s="23" t="s">
        <v>211</v>
      </c>
      <c r="G60" s="24" t="s">
        <v>15</v>
      </c>
      <c r="H60" s="25" t="n">
        <f aca="false">IFERROR(INDEX(Config!$B$3:$B$8,MATCH($G60,Config!$A$3:$A$8,0)),0)</f>
        <v>0</v>
      </c>
      <c r="I60" s="26" t="n">
        <f aca="false">IFERROR(INDEX(Config!$C$3:$C$8,MATCH($G60,Config!$A$3:$A$8,0)),0)</f>
        <v>1</v>
      </c>
      <c r="J60" s="23"/>
    </row>
    <row r="61" customFormat="false" ht="23.85" hidden="false" customHeight="false" outlineLevel="0" collapsed="false">
      <c r="A61" s="21" t="n">
        <v>60</v>
      </c>
      <c r="B61" s="21" t="s">
        <v>26</v>
      </c>
      <c r="C61" s="21" t="s">
        <v>46</v>
      </c>
      <c r="D61" s="21" t="s">
        <v>47</v>
      </c>
      <c r="E61" s="22" t="s">
        <v>266</v>
      </c>
      <c r="F61" s="23" t="s">
        <v>267</v>
      </c>
      <c r="G61" s="24" t="s">
        <v>13</v>
      </c>
      <c r="H61" s="25" t="n">
        <f aca="false">IFERROR(INDEX(Config!$B$3:$B$8,MATCH($G61,Config!$A$3:$A$8,0)),0)</f>
        <v>1</v>
      </c>
      <c r="I61" s="26" t="n">
        <f aca="false">IFERROR(INDEX(Config!$C$3:$C$8,MATCH($G61,Config!$A$3:$A$8,0)),0)</f>
        <v>1</v>
      </c>
      <c r="J61" s="23" t="s">
        <v>268</v>
      </c>
    </row>
    <row r="62" customFormat="false" ht="23.85" hidden="false" customHeight="false" outlineLevel="0" collapsed="false">
      <c r="A62" s="21" t="n">
        <v>61</v>
      </c>
      <c r="B62" s="21" t="s">
        <v>26</v>
      </c>
      <c r="C62" s="21" t="s">
        <v>46</v>
      </c>
      <c r="D62" s="21" t="s">
        <v>47</v>
      </c>
      <c r="E62" s="22" t="s">
        <v>269</v>
      </c>
      <c r="F62" s="23" t="s">
        <v>270</v>
      </c>
      <c r="G62" s="24" t="s">
        <v>13</v>
      </c>
      <c r="H62" s="25" t="n">
        <f aca="false">IFERROR(INDEX(Config!$B$3:$B$8,MATCH($G62,Config!$A$3:$A$8,0)),0)</f>
        <v>1</v>
      </c>
      <c r="I62" s="26" t="n">
        <f aca="false">IFERROR(INDEX(Config!$C$3:$C$8,MATCH($G62,Config!$A$3:$A$8,0)),0)</f>
        <v>1</v>
      </c>
      <c r="J62" s="23" t="s">
        <v>271</v>
      </c>
    </row>
    <row r="63" customFormat="false" ht="15" hidden="false" customHeight="false" outlineLevel="0" collapsed="false">
      <c r="A63" s="21" t="n">
        <v>62</v>
      </c>
      <c r="B63" s="21" t="s">
        <v>26</v>
      </c>
      <c r="C63" s="21" t="s">
        <v>46</v>
      </c>
      <c r="D63" s="21" t="s">
        <v>47</v>
      </c>
      <c r="E63" s="22" t="s">
        <v>272</v>
      </c>
      <c r="F63" s="23" t="s">
        <v>273</v>
      </c>
      <c r="G63" s="24" t="s">
        <v>13</v>
      </c>
      <c r="H63" s="25" t="n">
        <f aca="false">IFERROR(INDEX(Config!$B$3:$B$8,MATCH($G63,Config!$A$3:$A$8,0)),0)</f>
        <v>1</v>
      </c>
      <c r="I63" s="26" t="n">
        <f aca="false">IFERROR(INDEX(Config!$C$3:$C$8,MATCH($G63,Config!$A$3:$A$8,0)),0)</f>
        <v>1</v>
      </c>
      <c r="J63" s="23" t="s">
        <v>274</v>
      </c>
    </row>
    <row r="64" customFormat="false" ht="15" hidden="false" customHeight="false" outlineLevel="0" collapsed="false">
      <c r="A64" s="21" t="n">
        <v>63</v>
      </c>
      <c r="B64" s="21" t="s">
        <v>26</v>
      </c>
      <c r="C64" s="21" t="s">
        <v>46</v>
      </c>
      <c r="D64" s="21" t="s">
        <v>47</v>
      </c>
      <c r="E64" s="22" t="s">
        <v>275</v>
      </c>
      <c r="F64" s="23" t="s">
        <v>276</v>
      </c>
      <c r="G64" s="24" t="s">
        <v>13</v>
      </c>
      <c r="H64" s="25" t="n">
        <f aca="false">IFERROR(INDEX(Config!$B$3:$B$8,MATCH($G64,Config!$A$3:$A$8,0)),0)</f>
        <v>1</v>
      </c>
      <c r="I64" s="26" t="n">
        <f aca="false">IFERROR(INDEX(Config!$C$3:$C$8,MATCH($G64,Config!$A$3:$A$8,0)),0)</f>
        <v>1</v>
      </c>
      <c r="J64" s="23" t="s">
        <v>277</v>
      </c>
    </row>
    <row r="65" customFormat="false" ht="15" hidden="false" customHeight="false" outlineLevel="0" collapsed="false">
      <c r="A65" s="21" t="n">
        <v>64</v>
      </c>
      <c r="B65" s="21" t="s">
        <v>26</v>
      </c>
      <c r="C65" s="21" t="s">
        <v>46</v>
      </c>
      <c r="D65" s="21" t="s">
        <v>47</v>
      </c>
      <c r="E65" s="22" t="s">
        <v>278</v>
      </c>
      <c r="F65" s="23" t="s">
        <v>279</v>
      </c>
      <c r="G65" s="24" t="s">
        <v>13</v>
      </c>
      <c r="H65" s="25" t="n">
        <f aca="false">IFERROR(INDEX(Config!$B$3:$B$8,MATCH($G65,Config!$A$3:$A$8,0)),0)</f>
        <v>1</v>
      </c>
      <c r="I65" s="26" t="n">
        <f aca="false">IFERROR(INDEX(Config!$C$3:$C$8,MATCH($G65,Config!$A$3:$A$8,0)),0)</f>
        <v>1</v>
      </c>
      <c r="J65" s="23" t="s">
        <v>280</v>
      </c>
    </row>
    <row r="66" customFormat="false" ht="15" hidden="false" customHeight="false" outlineLevel="0" collapsed="false">
      <c r="A66" s="21" t="n">
        <v>65</v>
      </c>
      <c r="B66" s="21" t="s">
        <v>26</v>
      </c>
      <c r="C66" s="21" t="s">
        <v>46</v>
      </c>
      <c r="D66" s="21" t="s">
        <v>47</v>
      </c>
      <c r="E66" s="22" t="s">
        <v>281</v>
      </c>
      <c r="F66" s="23" t="s">
        <v>282</v>
      </c>
      <c r="G66" s="24" t="s">
        <v>15</v>
      </c>
      <c r="H66" s="25" t="n">
        <f aca="false">IFERROR(INDEX(Config!$B$3:$B$8,MATCH($G66,Config!$A$3:$A$8,0)),0)</f>
        <v>0</v>
      </c>
      <c r="I66" s="26" t="n">
        <f aca="false">IFERROR(INDEX(Config!$C$3:$C$8,MATCH($G66,Config!$A$3:$A$8,0)),0)</f>
        <v>1</v>
      </c>
      <c r="J66" s="23" t="s">
        <v>283</v>
      </c>
    </row>
    <row r="67" customFormat="false" ht="15" hidden="false" customHeight="false" outlineLevel="0" collapsed="false">
      <c r="A67" s="21" t="n">
        <v>66</v>
      </c>
      <c r="B67" s="21" t="s">
        <v>26</v>
      </c>
      <c r="C67" s="21" t="s">
        <v>46</v>
      </c>
      <c r="D67" s="21" t="s">
        <v>47</v>
      </c>
      <c r="E67" s="22" t="s">
        <v>284</v>
      </c>
      <c r="F67" s="23" t="s">
        <v>285</v>
      </c>
      <c r="G67" s="24" t="s">
        <v>15</v>
      </c>
      <c r="H67" s="25" t="n">
        <f aca="false">IFERROR(INDEX(Config!$B$3:$B$8,MATCH($G67,Config!$A$3:$A$8,0)),0)</f>
        <v>0</v>
      </c>
      <c r="I67" s="26" t="n">
        <f aca="false">IFERROR(INDEX(Config!$C$3:$C$8,MATCH($G67,Config!$A$3:$A$8,0)),0)</f>
        <v>1</v>
      </c>
      <c r="J67" s="23" t="s">
        <v>286</v>
      </c>
    </row>
    <row r="68" customFormat="false" ht="15" hidden="false" customHeight="false" outlineLevel="0" collapsed="false">
      <c r="A68" s="21" t="n">
        <v>67</v>
      </c>
      <c r="B68" s="21" t="s">
        <v>26</v>
      </c>
      <c r="C68" s="21" t="s">
        <v>46</v>
      </c>
      <c r="D68" s="21" t="s">
        <v>47</v>
      </c>
      <c r="E68" s="22" t="s">
        <v>287</v>
      </c>
      <c r="F68" s="23" t="s">
        <v>288</v>
      </c>
      <c r="G68" s="24" t="s">
        <v>15</v>
      </c>
      <c r="H68" s="25" t="n">
        <f aca="false">IFERROR(INDEX(Config!$B$3:$B$8,MATCH($G68,Config!$A$3:$A$8,0)),0)</f>
        <v>0</v>
      </c>
      <c r="I68" s="26" t="n">
        <f aca="false">IFERROR(INDEX(Config!$C$3:$C$8,MATCH($G68,Config!$A$3:$A$8,0)),0)</f>
        <v>1</v>
      </c>
      <c r="J68" s="23" t="s">
        <v>289</v>
      </c>
    </row>
    <row r="69" customFormat="false" ht="23.85" hidden="false" customHeight="false" outlineLevel="0" collapsed="false">
      <c r="A69" s="21" t="n">
        <v>68</v>
      </c>
      <c r="B69" s="21" t="s">
        <v>26</v>
      </c>
      <c r="C69" s="21" t="s">
        <v>46</v>
      </c>
      <c r="D69" s="21" t="s">
        <v>47</v>
      </c>
      <c r="E69" s="22" t="s">
        <v>290</v>
      </c>
      <c r="F69" s="23" t="s">
        <v>291</v>
      </c>
      <c r="G69" s="24" t="s">
        <v>15</v>
      </c>
      <c r="H69" s="25" t="n">
        <f aca="false">IFERROR(INDEX(Config!$B$3:$B$8,MATCH($G69,Config!$A$3:$A$8,0)),0)</f>
        <v>0</v>
      </c>
      <c r="I69" s="26" t="n">
        <f aca="false">IFERROR(INDEX(Config!$C$3:$C$8,MATCH($G69,Config!$A$3:$A$8,0)),0)</f>
        <v>1</v>
      </c>
      <c r="J69" s="23"/>
    </row>
    <row r="70" customFormat="false" ht="15" hidden="false" customHeight="false" outlineLevel="0" collapsed="false">
      <c r="A70" s="21" t="n">
        <v>69</v>
      </c>
      <c r="B70" s="21" t="s">
        <v>26</v>
      </c>
      <c r="C70" s="21" t="s">
        <v>46</v>
      </c>
      <c r="D70" s="21" t="s">
        <v>47</v>
      </c>
      <c r="E70" s="22" t="s">
        <v>292</v>
      </c>
      <c r="F70" s="23" t="s">
        <v>293</v>
      </c>
      <c r="G70" s="24" t="s">
        <v>15</v>
      </c>
      <c r="H70" s="25" t="n">
        <f aca="false">IFERROR(INDEX(Config!$B$3:$B$8,MATCH($G70,Config!$A$3:$A$8,0)),0)</f>
        <v>0</v>
      </c>
      <c r="I70" s="26" t="n">
        <f aca="false">IFERROR(INDEX(Config!$C$3:$C$8,MATCH($G70,Config!$A$3:$A$8,0)),0)</f>
        <v>1</v>
      </c>
      <c r="J70" s="23" t="s">
        <v>294</v>
      </c>
    </row>
    <row r="71" customFormat="false" ht="23.85" hidden="false" customHeight="false" outlineLevel="0" collapsed="false">
      <c r="A71" s="21" t="n">
        <v>70</v>
      </c>
      <c r="B71" s="21" t="s">
        <v>26</v>
      </c>
      <c r="C71" s="21" t="s">
        <v>46</v>
      </c>
      <c r="D71" s="21" t="s">
        <v>47</v>
      </c>
      <c r="E71" s="22" t="s">
        <v>295</v>
      </c>
      <c r="F71" s="23" t="s">
        <v>296</v>
      </c>
      <c r="G71" s="24" t="s">
        <v>15</v>
      </c>
      <c r="H71" s="25" t="n">
        <f aca="false">IFERROR(INDEX(Config!$B$3:$B$8,MATCH($G71,Config!$A$3:$A$8,0)),0)</f>
        <v>0</v>
      </c>
      <c r="I71" s="26" t="n">
        <f aca="false">IFERROR(INDEX(Config!$C$3:$C$8,MATCH($G71,Config!$A$3:$A$8,0)),0)</f>
        <v>1</v>
      </c>
      <c r="J71" s="23"/>
    </row>
    <row r="72" customFormat="false" ht="23.85" hidden="false" customHeight="false" outlineLevel="0" collapsed="false">
      <c r="A72" s="21" t="n">
        <v>71</v>
      </c>
      <c r="B72" s="21" t="s">
        <v>26</v>
      </c>
      <c r="C72" s="21" t="s">
        <v>46</v>
      </c>
      <c r="D72" s="21" t="s">
        <v>47</v>
      </c>
      <c r="E72" s="22" t="s">
        <v>297</v>
      </c>
      <c r="F72" s="23" t="s">
        <v>298</v>
      </c>
      <c r="G72" s="24" t="s">
        <v>14</v>
      </c>
      <c r="H72" s="25" t="n">
        <f aca="false">IFERROR(INDEX(Config!$B$3:$B$8,MATCH($G72,Config!$A$3:$A$8,0)),0)</f>
        <v>0.5</v>
      </c>
      <c r="I72" s="26" t="n">
        <f aca="false">IFERROR(INDEX(Config!$C$3:$C$8,MATCH($G72,Config!$A$3:$A$8,0)),0)</f>
        <v>1</v>
      </c>
      <c r="J72" s="23" t="s">
        <v>299</v>
      </c>
    </row>
    <row r="73" customFormat="false" ht="15" hidden="false" customHeight="false" outlineLevel="0" collapsed="false">
      <c r="A73" s="21" t="n">
        <v>72</v>
      </c>
      <c r="B73" s="21" t="s">
        <v>26</v>
      </c>
      <c r="C73" s="21" t="s">
        <v>46</v>
      </c>
      <c r="D73" s="21" t="s">
        <v>47</v>
      </c>
      <c r="E73" s="22" t="s">
        <v>300</v>
      </c>
      <c r="F73" s="23" t="s">
        <v>301</v>
      </c>
      <c r="G73" s="24" t="s">
        <v>15</v>
      </c>
      <c r="H73" s="25" t="n">
        <f aca="false">IFERROR(INDEX(Config!$B$3:$B$8,MATCH($G73,Config!$A$3:$A$8,0)),0)</f>
        <v>0</v>
      </c>
      <c r="I73" s="26" t="n">
        <f aca="false">IFERROR(INDEX(Config!$C$3:$C$8,MATCH($G73,Config!$A$3:$A$8,0)),0)</f>
        <v>1</v>
      </c>
      <c r="J73" s="23"/>
    </row>
    <row r="74" customFormat="false" ht="15" hidden="false" customHeight="false" outlineLevel="0" collapsed="false">
      <c r="A74" s="21" t="n">
        <v>73</v>
      </c>
      <c r="B74" s="21" t="s">
        <v>26</v>
      </c>
      <c r="C74" s="21" t="s">
        <v>46</v>
      </c>
      <c r="D74" s="21" t="s">
        <v>47</v>
      </c>
      <c r="E74" s="22" t="s">
        <v>302</v>
      </c>
      <c r="F74" s="23" t="s">
        <v>211</v>
      </c>
      <c r="G74" s="24" t="s">
        <v>15</v>
      </c>
      <c r="H74" s="25" t="n">
        <f aca="false">IFERROR(INDEX(Config!$B$3:$B$8,MATCH($G74,Config!$A$3:$A$8,0)),0)</f>
        <v>0</v>
      </c>
      <c r="I74" s="26" t="n">
        <f aca="false">IFERROR(INDEX(Config!$C$3:$C$8,MATCH($G74,Config!$A$3:$A$8,0)),0)</f>
        <v>1</v>
      </c>
      <c r="J74" s="23"/>
    </row>
    <row r="75" customFormat="false" ht="15" hidden="false" customHeight="false" outlineLevel="0" collapsed="false">
      <c r="A75" s="21" t="n">
        <v>74</v>
      </c>
      <c r="B75" s="21" t="s">
        <v>26</v>
      </c>
      <c r="C75" s="21" t="s">
        <v>48</v>
      </c>
      <c r="D75" s="21" t="s">
        <v>49</v>
      </c>
      <c r="E75" s="22" t="s">
        <v>303</v>
      </c>
      <c r="F75" s="23" t="s">
        <v>304</v>
      </c>
      <c r="G75" s="24" t="s">
        <v>15</v>
      </c>
      <c r="H75" s="25" t="n">
        <f aca="false">IFERROR(INDEX(Config!$B$3:$B$8,MATCH($G75,Config!$A$3:$A$8,0)),0)</f>
        <v>0</v>
      </c>
      <c r="I75" s="26" t="n">
        <f aca="false">IFERROR(INDEX(Config!$C$3:$C$8,MATCH($G75,Config!$A$3:$A$8,0)),0)</f>
        <v>1</v>
      </c>
      <c r="J75" s="23" t="s">
        <v>305</v>
      </c>
    </row>
    <row r="76" customFormat="false" ht="15" hidden="false" customHeight="false" outlineLevel="0" collapsed="false">
      <c r="A76" s="21" t="n">
        <v>75</v>
      </c>
      <c r="B76" s="21" t="s">
        <v>26</v>
      </c>
      <c r="C76" s="21" t="s">
        <v>48</v>
      </c>
      <c r="D76" s="21" t="s">
        <v>49</v>
      </c>
      <c r="E76" s="22" t="s">
        <v>306</v>
      </c>
      <c r="F76" s="23" t="s">
        <v>307</v>
      </c>
      <c r="G76" s="24" t="s">
        <v>15</v>
      </c>
      <c r="H76" s="25" t="n">
        <f aca="false">IFERROR(INDEX(Config!$B$3:$B$8,MATCH($G76,Config!$A$3:$A$8,0)),0)</f>
        <v>0</v>
      </c>
      <c r="I76" s="26" t="n">
        <f aca="false">IFERROR(INDEX(Config!$C$3:$C$8,MATCH($G76,Config!$A$3:$A$8,0)),0)</f>
        <v>1</v>
      </c>
      <c r="J76" s="23" t="s">
        <v>308</v>
      </c>
    </row>
    <row r="77" customFormat="false" ht="15" hidden="false" customHeight="false" outlineLevel="0" collapsed="false">
      <c r="A77" s="21" t="n">
        <v>76</v>
      </c>
      <c r="B77" s="21" t="s">
        <v>26</v>
      </c>
      <c r="C77" s="21" t="s">
        <v>48</v>
      </c>
      <c r="D77" s="21" t="s">
        <v>49</v>
      </c>
      <c r="E77" s="22" t="s">
        <v>309</v>
      </c>
      <c r="F77" s="23" t="s">
        <v>310</v>
      </c>
      <c r="G77" s="24" t="s">
        <v>15</v>
      </c>
      <c r="H77" s="25" t="n">
        <f aca="false">IFERROR(INDEX(Config!$B$3:$B$8,MATCH($G77,Config!$A$3:$A$8,0)),0)</f>
        <v>0</v>
      </c>
      <c r="I77" s="26" t="n">
        <f aca="false">IFERROR(INDEX(Config!$C$3:$C$8,MATCH($G77,Config!$A$3:$A$8,0)),0)</f>
        <v>1</v>
      </c>
      <c r="J77" s="23"/>
    </row>
    <row r="78" customFormat="false" ht="15" hidden="false" customHeight="false" outlineLevel="0" collapsed="false">
      <c r="A78" s="21" t="n">
        <v>77</v>
      </c>
      <c r="B78" s="21" t="s">
        <v>26</v>
      </c>
      <c r="C78" s="21" t="s">
        <v>48</v>
      </c>
      <c r="D78" s="21" t="s">
        <v>49</v>
      </c>
      <c r="E78" s="22" t="s">
        <v>311</v>
      </c>
      <c r="F78" s="23" t="s">
        <v>312</v>
      </c>
      <c r="G78" s="24" t="s">
        <v>15</v>
      </c>
      <c r="H78" s="25" t="n">
        <f aca="false">IFERROR(INDEX(Config!$B$3:$B$8,MATCH($G78,Config!$A$3:$A$8,0)),0)</f>
        <v>0</v>
      </c>
      <c r="I78" s="26" t="n">
        <f aca="false">IFERROR(INDEX(Config!$C$3:$C$8,MATCH($G78,Config!$A$3:$A$8,0)),0)</f>
        <v>1</v>
      </c>
      <c r="J78" s="23" t="s">
        <v>313</v>
      </c>
    </row>
    <row r="79" customFormat="false" ht="15" hidden="false" customHeight="false" outlineLevel="0" collapsed="false">
      <c r="A79" s="21" t="n">
        <v>78</v>
      </c>
      <c r="B79" s="21" t="s">
        <v>26</v>
      </c>
      <c r="C79" s="21" t="s">
        <v>48</v>
      </c>
      <c r="D79" s="21" t="s">
        <v>49</v>
      </c>
      <c r="E79" s="22" t="s">
        <v>314</v>
      </c>
      <c r="F79" s="23" t="s">
        <v>315</v>
      </c>
      <c r="G79" s="24" t="s">
        <v>15</v>
      </c>
      <c r="H79" s="25" t="n">
        <f aca="false">IFERROR(INDEX(Config!$B$3:$B$8,MATCH($G79,Config!$A$3:$A$8,0)),0)</f>
        <v>0</v>
      </c>
      <c r="I79" s="26" t="n">
        <f aca="false">IFERROR(INDEX(Config!$C$3:$C$8,MATCH($G79,Config!$A$3:$A$8,0)),0)</f>
        <v>1</v>
      </c>
      <c r="J79" s="23"/>
    </row>
    <row r="80" customFormat="false" ht="15" hidden="false" customHeight="false" outlineLevel="0" collapsed="false">
      <c r="A80" s="21" t="n">
        <v>79</v>
      </c>
      <c r="B80" s="21" t="s">
        <v>26</v>
      </c>
      <c r="C80" s="21" t="s">
        <v>48</v>
      </c>
      <c r="D80" s="21" t="s">
        <v>49</v>
      </c>
      <c r="E80" s="22" t="s">
        <v>316</v>
      </c>
      <c r="F80" s="23" t="s">
        <v>317</v>
      </c>
      <c r="G80" s="24" t="s">
        <v>15</v>
      </c>
      <c r="H80" s="25" t="n">
        <f aca="false">IFERROR(INDEX(Config!$B$3:$B$8,MATCH($G80,Config!$A$3:$A$8,0)),0)</f>
        <v>0</v>
      </c>
      <c r="I80" s="26" t="n">
        <f aca="false">IFERROR(INDEX(Config!$C$3:$C$8,MATCH($G80,Config!$A$3:$A$8,0)),0)</f>
        <v>1</v>
      </c>
      <c r="J80" s="23"/>
    </row>
    <row r="81" customFormat="false" ht="15" hidden="false" customHeight="false" outlineLevel="0" collapsed="false">
      <c r="A81" s="21" t="n">
        <v>80</v>
      </c>
      <c r="B81" s="21" t="s">
        <v>26</v>
      </c>
      <c r="C81" s="21" t="s">
        <v>48</v>
      </c>
      <c r="D81" s="21" t="s">
        <v>49</v>
      </c>
      <c r="E81" s="22" t="s">
        <v>318</v>
      </c>
      <c r="F81" s="23" t="s">
        <v>319</v>
      </c>
      <c r="G81" s="24" t="s">
        <v>15</v>
      </c>
      <c r="H81" s="25" t="n">
        <f aca="false">IFERROR(INDEX(Config!$B$3:$B$8,MATCH($G81,Config!$A$3:$A$8,0)),0)</f>
        <v>0</v>
      </c>
      <c r="I81" s="26" t="n">
        <f aca="false">IFERROR(INDEX(Config!$C$3:$C$8,MATCH($G81,Config!$A$3:$A$8,0)),0)</f>
        <v>1</v>
      </c>
      <c r="J81" s="23" t="s">
        <v>320</v>
      </c>
    </row>
    <row r="82" customFormat="false" ht="15" hidden="false" customHeight="false" outlineLevel="0" collapsed="false">
      <c r="A82" s="21" t="n">
        <v>81</v>
      </c>
      <c r="B82" s="21" t="s">
        <v>26</v>
      </c>
      <c r="C82" s="21" t="s">
        <v>48</v>
      </c>
      <c r="D82" s="21" t="s">
        <v>49</v>
      </c>
      <c r="E82" s="22" t="s">
        <v>321</v>
      </c>
      <c r="F82" s="23" t="s">
        <v>322</v>
      </c>
      <c r="G82" s="24" t="s">
        <v>15</v>
      </c>
      <c r="H82" s="25" t="n">
        <f aca="false">IFERROR(INDEX(Config!$B$3:$B$8,MATCH($G82,Config!$A$3:$A$8,0)),0)</f>
        <v>0</v>
      </c>
      <c r="I82" s="26" t="n">
        <f aca="false">IFERROR(INDEX(Config!$C$3:$C$8,MATCH($G82,Config!$A$3:$A$8,0)),0)</f>
        <v>1</v>
      </c>
      <c r="J82" s="23" t="s">
        <v>323</v>
      </c>
    </row>
    <row r="83" customFormat="false" ht="15" hidden="false" customHeight="false" outlineLevel="0" collapsed="false">
      <c r="A83" s="21" t="n">
        <v>82</v>
      </c>
      <c r="B83" s="21" t="s">
        <v>26</v>
      </c>
      <c r="C83" s="21" t="s">
        <v>48</v>
      </c>
      <c r="D83" s="21" t="s">
        <v>49</v>
      </c>
      <c r="E83" s="22" t="s">
        <v>324</v>
      </c>
      <c r="F83" s="23" t="s">
        <v>325</v>
      </c>
      <c r="G83" s="24" t="s">
        <v>15</v>
      </c>
      <c r="H83" s="25" t="n">
        <f aca="false">IFERROR(INDEX(Config!$B$3:$B$8,MATCH($G83,Config!$A$3:$A$8,0)),0)</f>
        <v>0</v>
      </c>
      <c r="I83" s="26" t="n">
        <f aca="false">IFERROR(INDEX(Config!$C$3:$C$8,MATCH($G83,Config!$A$3:$A$8,0)),0)</f>
        <v>1</v>
      </c>
      <c r="J83" s="23"/>
    </row>
    <row r="84" customFormat="false" ht="15" hidden="false" customHeight="false" outlineLevel="0" collapsed="false">
      <c r="A84" s="21" t="n">
        <v>83</v>
      </c>
      <c r="B84" s="21" t="s">
        <v>26</v>
      </c>
      <c r="C84" s="21" t="s">
        <v>48</v>
      </c>
      <c r="D84" s="21" t="s">
        <v>49</v>
      </c>
      <c r="E84" s="22" t="s">
        <v>326</v>
      </c>
      <c r="F84" s="23" t="s">
        <v>327</v>
      </c>
      <c r="G84" s="24" t="s">
        <v>15</v>
      </c>
      <c r="H84" s="25" t="n">
        <f aca="false">IFERROR(INDEX(Config!$B$3:$B$8,MATCH($G84,Config!$A$3:$A$8,0)),0)</f>
        <v>0</v>
      </c>
      <c r="I84" s="26" t="n">
        <f aca="false">IFERROR(INDEX(Config!$C$3:$C$8,MATCH($G84,Config!$A$3:$A$8,0)),0)</f>
        <v>1</v>
      </c>
      <c r="J84" s="23"/>
    </row>
    <row r="85" customFormat="false" ht="15" hidden="false" customHeight="false" outlineLevel="0" collapsed="false">
      <c r="A85" s="21" t="n">
        <v>84</v>
      </c>
      <c r="B85" s="21" t="s">
        <v>26</v>
      </c>
      <c r="C85" s="21" t="s">
        <v>48</v>
      </c>
      <c r="D85" s="21" t="s">
        <v>49</v>
      </c>
      <c r="E85" s="22" t="s">
        <v>328</v>
      </c>
      <c r="F85" s="23" t="s">
        <v>211</v>
      </c>
      <c r="G85" s="24" t="s">
        <v>15</v>
      </c>
      <c r="H85" s="25" t="n">
        <f aca="false">IFERROR(INDEX(Config!$B$3:$B$8,MATCH($G85,Config!$A$3:$A$8,0)),0)</f>
        <v>0</v>
      </c>
      <c r="I85" s="26" t="n">
        <f aca="false">IFERROR(INDEX(Config!$C$3:$C$8,MATCH($G85,Config!$A$3:$A$8,0)),0)</f>
        <v>1</v>
      </c>
      <c r="J85" s="23"/>
    </row>
    <row r="86" customFormat="false" ht="23.85" hidden="false" customHeight="false" outlineLevel="0" collapsed="false">
      <c r="A86" s="21" t="n">
        <v>85</v>
      </c>
      <c r="B86" s="21" t="s">
        <v>26</v>
      </c>
      <c r="C86" s="21" t="s">
        <v>50</v>
      </c>
      <c r="D86" s="21" t="s">
        <v>51</v>
      </c>
      <c r="E86" s="22" t="s">
        <v>329</v>
      </c>
      <c r="F86" s="23" t="s">
        <v>330</v>
      </c>
      <c r="G86" s="24" t="s">
        <v>14</v>
      </c>
      <c r="H86" s="25" t="n">
        <f aca="false">IFERROR(INDEX(Config!$B$3:$B$8,MATCH($G86,Config!$A$3:$A$8,0)),0)</f>
        <v>0.5</v>
      </c>
      <c r="I86" s="26" t="n">
        <f aca="false">IFERROR(INDEX(Config!$C$3:$C$8,MATCH($G86,Config!$A$3:$A$8,0)),0)</f>
        <v>1</v>
      </c>
      <c r="J86" s="23" t="s">
        <v>331</v>
      </c>
    </row>
    <row r="87" customFormat="false" ht="15" hidden="false" customHeight="false" outlineLevel="0" collapsed="false">
      <c r="A87" s="21" t="n">
        <v>86</v>
      </c>
      <c r="B87" s="21" t="s">
        <v>26</v>
      </c>
      <c r="C87" s="21" t="s">
        <v>50</v>
      </c>
      <c r="D87" s="21" t="s">
        <v>51</v>
      </c>
      <c r="E87" s="22" t="s">
        <v>332</v>
      </c>
      <c r="F87" s="23" t="s">
        <v>333</v>
      </c>
      <c r="G87" s="24" t="s">
        <v>15</v>
      </c>
      <c r="H87" s="25" t="n">
        <f aca="false">IFERROR(INDEX(Config!$B$3:$B$8,MATCH($G87,Config!$A$3:$A$8,0)),0)</f>
        <v>0</v>
      </c>
      <c r="I87" s="26" t="n">
        <f aca="false">IFERROR(INDEX(Config!$C$3:$C$8,MATCH($G87,Config!$A$3:$A$8,0)),0)</f>
        <v>1</v>
      </c>
      <c r="J87" s="23" t="s">
        <v>334</v>
      </c>
    </row>
    <row r="88" customFormat="false" ht="15" hidden="false" customHeight="false" outlineLevel="0" collapsed="false">
      <c r="A88" s="21" t="n">
        <v>87</v>
      </c>
      <c r="B88" s="21" t="s">
        <v>26</v>
      </c>
      <c r="C88" s="21" t="s">
        <v>50</v>
      </c>
      <c r="D88" s="21" t="s">
        <v>51</v>
      </c>
      <c r="E88" s="22" t="s">
        <v>335</v>
      </c>
      <c r="F88" s="23" t="s">
        <v>336</v>
      </c>
      <c r="G88" s="24" t="s">
        <v>15</v>
      </c>
      <c r="H88" s="25" t="n">
        <f aca="false">IFERROR(INDEX(Config!$B$3:$B$8,MATCH($G88,Config!$A$3:$A$8,0)),0)</f>
        <v>0</v>
      </c>
      <c r="I88" s="26" t="n">
        <f aca="false">IFERROR(INDEX(Config!$C$3:$C$8,MATCH($G88,Config!$A$3:$A$8,0)),0)</f>
        <v>1</v>
      </c>
      <c r="J88" s="23"/>
    </row>
    <row r="89" customFormat="false" ht="15" hidden="false" customHeight="false" outlineLevel="0" collapsed="false">
      <c r="A89" s="21" t="n">
        <v>88</v>
      </c>
      <c r="B89" s="21" t="s">
        <v>26</v>
      </c>
      <c r="C89" s="21" t="s">
        <v>50</v>
      </c>
      <c r="D89" s="21" t="s">
        <v>51</v>
      </c>
      <c r="E89" s="22" t="s">
        <v>337</v>
      </c>
      <c r="F89" s="23" t="s">
        <v>338</v>
      </c>
      <c r="G89" s="24" t="s">
        <v>15</v>
      </c>
      <c r="H89" s="25" t="n">
        <f aca="false">IFERROR(INDEX(Config!$B$3:$B$8,MATCH($G89,Config!$A$3:$A$8,0)),0)</f>
        <v>0</v>
      </c>
      <c r="I89" s="26" t="n">
        <f aca="false">IFERROR(INDEX(Config!$C$3:$C$8,MATCH($G89,Config!$A$3:$A$8,0)),0)</f>
        <v>1</v>
      </c>
      <c r="J89" s="23" t="s">
        <v>339</v>
      </c>
    </row>
    <row r="90" customFormat="false" ht="15" hidden="false" customHeight="false" outlineLevel="0" collapsed="false">
      <c r="A90" s="21" t="n">
        <v>89</v>
      </c>
      <c r="B90" s="21" t="s">
        <v>26</v>
      </c>
      <c r="C90" s="21" t="s">
        <v>50</v>
      </c>
      <c r="D90" s="21" t="s">
        <v>51</v>
      </c>
      <c r="E90" s="22" t="s">
        <v>340</v>
      </c>
      <c r="F90" s="23" t="s">
        <v>341</v>
      </c>
      <c r="G90" s="24" t="s">
        <v>16</v>
      </c>
      <c r="H90" s="25" t="n">
        <f aca="false">IFERROR(INDEX(Config!$B$3:$B$8,MATCH($G90,Config!$A$3:$A$8,0)),0)</f>
        <v>0</v>
      </c>
      <c r="I90" s="26" t="n">
        <f aca="false">IFERROR(INDEX(Config!$C$3:$C$8,MATCH($G90,Config!$A$3:$A$8,0)),0)</f>
        <v>1</v>
      </c>
      <c r="J90" s="23" t="s">
        <v>342</v>
      </c>
    </row>
    <row r="91" customFormat="false" ht="23.85" hidden="false" customHeight="false" outlineLevel="0" collapsed="false">
      <c r="A91" s="21" t="n">
        <v>90</v>
      </c>
      <c r="B91" s="21" t="s">
        <v>26</v>
      </c>
      <c r="C91" s="21" t="s">
        <v>50</v>
      </c>
      <c r="D91" s="21" t="s">
        <v>51</v>
      </c>
      <c r="E91" s="22" t="s">
        <v>343</v>
      </c>
      <c r="F91" s="23" t="s">
        <v>344</v>
      </c>
      <c r="G91" s="24" t="s">
        <v>15</v>
      </c>
      <c r="H91" s="25" t="n">
        <f aca="false">IFERROR(INDEX(Config!$B$3:$B$8,MATCH($G91,Config!$A$3:$A$8,0)),0)</f>
        <v>0</v>
      </c>
      <c r="I91" s="26" t="n">
        <f aca="false">IFERROR(INDEX(Config!$C$3:$C$8,MATCH($G91,Config!$A$3:$A$8,0)),0)</f>
        <v>1</v>
      </c>
      <c r="J91" s="23" t="s">
        <v>345</v>
      </c>
    </row>
    <row r="92" customFormat="false" ht="15" hidden="false" customHeight="false" outlineLevel="0" collapsed="false">
      <c r="A92" s="21" t="n">
        <v>91</v>
      </c>
      <c r="B92" s="21" t="s">
        <v>26</v>
      </c>
      <c r="C92" s="21" t="s">
        <v>50</v>
      </c>
      <c r="D92" s="21" t="s">
        <v>51</v>
      </c>
      <c r="E92" s="22" t="s">
        <v>346</v>
      </c>
      <c r="F92" s="23" t="s">
        <v>347</v>
      </c>
      <c r="G92" s="24" t="s">
        <v>15</v>
      </c>
      <c r="H92" s="25" t="n">
        <f aca="false">IFERROR(INDEX(Config!$B$3:$B$8,MATCH($G92,Config!$A$3:$A$8,0)),0)</f>
        <v>0</v>
      </c>
      <c r="I92" s="26" t="n">
        <f aca="false">IFERROR(INDEX(Config!$C$3:$C$8,MATCH($G92,Config!$A$3:$A$8,0)),0)</f>
        <v>1</v>
      </c>
      <c r="J92" s="23"/>
    </row>
    <row r="93" customFormat="false" ht="15" hidden="false" customHeight="false" outlineLevel="0" collapsed="false">
      <c r="A93" s="21" t="n">
        <v>92</v>
      </c>
      <c r="B93" s="21" t="s">
        <v>26</v>
      </c>
      <c r="C93" s="21" t="s">
        <v>50</v>
      </c>
      <c r="D93" s="21" t="s">
        <v>51</v>
      </c>
      <c r="E93" s="22" t="s">
        <v>348</v>
      </c>
      <c r="F93" s="23" t="s">
        <v>349</v>
      </c>
      <c r="G93" s="24" t="s">
        <v>15</v>
      </c>
      <c r="H93" s="25" t="n">
        <f aca="false">IFERROR(INDEX(Config!$B$3:$B$8,MATCH($G93,Config!$A$3:$A$8,0)),0)</f>
        <v>0</v>
      </c>
      <c r="I93" s="26" t="n">
        <f aca="false">IFERROR(INDEX(Config!$C$3:$C$8,MATCH($G93,Config!$A$3:$A$8,0)),0)</f>
        <v>1</v>
      </c>
      <c r="J93" s="23" t="s">
        <v>350</v>
      </c>
    </row>
    <row r="94" customFormat="false" ht="15" hidden="false" customHeight="false" outlineLevel="0" collapsed="false">
      <c r="A94" s="21" t="n">
        <v>93</v>
      </c>
      <c r="B94" s="21" t="s">
        <v>26</v>
      </c>
      <c r="C94" s="21" t="s">
        <v>50</v>
      </c>
      <c r="D94" s="21" t="s">
        <v>51</v>
      </c>
      <c r="E94" s="22" t="s">
        <v>351</v>
      </c>
      <c r="F94" s="23" t="s">
        <v>352</v>
      </c>
      <c r="G94" s="24" t="s">
        <v>16</v>
      </c>
      <c r="H94" s="25" t="n">
        <f aca="false">IFERROR(INDEX(Config!$B$3:$B$8,MATCH($G94,Config!$A$3:$A$8,0)),0)</f>
        <v>0</v>
      </c>
      <c r="I94" s="26" t="n">
        <f aca="false">IFERROR(INDEX(Config!$C$3:$C$8,MATCH($G94,Config!$A$3:$A$8,0)),0)</f>
        <v>1</v>
      </c>
      <c r="J94" s="23" t="s">
        <v>353</v>
      </c>
    </row>
    <row r="95" customFormat="false" ht="15" hidden="false" customHeight="false" outlineLevel="0" collapsed="false">
      <c r="A95" s="21" t="n">
        <v>94</v>
      </c>
      <c r="B95" s="21" t="s">
        <v>26</v>
      </c>
      <c r="C95" s="21" t="s">
        <v>50</v>
      </c>
      <c r="D95" s="21" t="s">
        <v>51</v>
      </c>
      <c r="E95" s="22" t="s">
        <v>354</v>
      </c>
      <c r="F95" s="23" t="s">
        <v>355</v>
      </c>
      <c r="G95" s="24" t="s">
        <v>15</v>
      </c>
      <c r="H95" s="25" t="n">
        <f aca="false">IFERROR(INDEX(Config!$B$3:$B$8,MATCH($G95,Config!$A$3:$A$8,0)),0)</f>
        <v>0</v>
      </c>
      <c r="I95" s="26" t="n">
        <f aca="false">IFERROR(INDEX(Config!$C$3:$C$8,MATCH($G95,Config!$A$3:$A$8,0)),0)</f>
        <v>1</v>
      </c>
      <c r="J95" s="23" t="s">
        <v>356</v>
      </c>
    </row>
    <row r="96" customFormat="false" ht="15" hidden="false" customHeight="false" outlineLevel="0" collapsed="false">
      <c r="A96" s="21" t="n">
        <v>95</v>
      </c>
      <c r="B96" s="21" t="s">
        <v>26</v>
      </c>
      <c r="C96" s="21" t="s">
        <v>50</v>
      </c>
      <c r="D96" s="21" t="s">
        <v>51</v>
      </c>
      <c r="E96" s="22" t="s">
        <v>357</v>
      </c>
      <c r="F96" s="23" t="s">
        <v>358</v>
      </c>
      <c r="G96" s="24" t="s">
        <v>15</v>
      </c>
      <c r="H96" s="25" t="n">
        <f aca="false">IFERROR(INDEX(Config!$B$3:$B$8,MATCH($G96,Config!$A$3:$A$8,0)),0)</f>
        <v>0</v>
      </c>
      <c r="I96" s="26" t="n">
        <f aca="false">IFERROR(INDEX(Config!$C$3:$C$8,MATCH($G96,Config!$A$3:$A$8,0)),0)</f>
        <v>1</v>
      </c>
      <c r="J96" s="23" t="s">
        <v>359</v>
      </c>
    </row>
    <row r="97" customFormat="false" ht="23.85" hidden="false" customHeight="false" outlineLevel="0" collapsed="false">
      <c r="A97" s="21" t="n">
        <v>96</v>
      </c>
      <c r="B97" s="21" t="s">
        <v>26</v>
      </c>
      <c r="C97" s="21" t="s">
        <v>50</v>
      </c>
      <c r="D97" s="21" t="s">
        <v>51</v>
      </c>
      <c r="E97" s="22" t="s">
        <v>360</v>
      </c>
      <c r="F97" s="23" t="s">
        <v>361</v>
      </c>
      <c r="G97" s="24" t="s">
        <v>15</v>
      </c>
      <c r="H97" s="25" t="n">
        <f aca="false">IFERROR(INDEX(Config!$B$3:$B$8,MATCH($G97,Config!$A$3:$A$8,0)),0)</f>
        <v>0</v>
      </c>
      <c r="I97" s="26" t="n">
        <f aca="false">IFERROR(INDEX(Config!$C$3:$C$8,MATCH($G97,Config!$A$3:$A$8,0)),0)</f>
        <v>1</v>
      </c>
      <c r="J97" s="23" t="s">
        <v>362</v>
      </c>
    </row>
    <row r="98" customFormat="false" ht="23.85" hidden="false" customHeight="false" outlineLevel="0" collapsed="false">
      <c r="A98" s="21" t="n">
        <v>97</v>
      </c>
      <c r="B98" s="21" t="s">
        <v>26</v>
      </c>
      <c r="C98" s="21" t="s">
        <v>50</v>
      </c>
      <c r="D98" s="21" t="s">
        <v>51</v>
      </c>
      <c r="E98" s="22" t="s">
        <v>363</v>
      </c>
      <c r="F98" s="23" t="s">
        <v>364</v>
      </c>
      <c r="G98" s="24" t="s">
        <v>15</v>
      </c>
      <c r="H98" s="25" t="n">
        <f aca="false">IFERROR(INDEX(Config!$B$3:$B$8,MATCH($G98,Config!$A$3:$A$8,0)),0)</f>
        <v>0</v>
      </c>
      <c r="I98" s="26" t="n">
        <f aca="false">IFERROR(INDEX(Config!$C$3:$C$8,MATCH($G98,Config!$A$3:$A$8,0)),0)</f>
        <v>1</v>
      </c>
      <c r="J98" s="23" t="s">
        <v>365</v>
      </c>
    </row>
    <row r="99" customFormat="false" ht="15" hidden="false" customHeight="false" outlineLevel="0" collapsed="false">
      <c r="A99" s="21" t="n">
        <v>98</v>
      </c>
      <c r="B99" s="21" t="s">
        <v>26</v>
      </c>
      <c r="C99" s="21" t="s">
        <v>50</v>
      </c>
      <c r="D99" s="21" t="s">
        <v>51</v>
      </c>
      <c r="E99" s="22" t="s">
        <v>366</v>
      </c>
      <c r="F99" s="23" t="s">
        <v>367</v>
      </c>
      <c r="G99" s="24" t="s">
        <v>15</v>
      </c>
      <c r="H99" s="25" t="n">
        <f aca="false">IFERROR(INDEX(Config!$B$3:$B$8,MATCH($G99,Config!$A$3:$A$8,0)),0)</f>
        <v>0</v>
      </c>
      <c r="I99" s="26" t="n">
        <f aca="false">IFERROR(INDEX(Config!$C$3:$C$8,MATCH($G99,Config!$A$3:$A$8,0)),0)</f>
        <v>1</v>
      </c>
      <c r="J99" s="23"/>
    </row>
    <row r="100" customFormat="false" ht="15" hidden="false" customHeight="false" outlineLevel="0" collapsed="false">
      <c r="A100" s="21" t="n">
        <v>99</v>
      </c>
      <c r="B100" s="21" t="s">
        <v>26</v>
      </c>
      <c r="C100" s="21" t="s">
        <v>52</v>
      </c>
      <c r="D100" s="21" t="s">
        <v>53</v>
      </c>
      <c r="E100" s="22" t="s">
        <v>368</v>
      </c>
      <c r="F100" s="23" t="s">
        <v>369</v>
      </c>
      <c r="G100" s="24" t="s">
        <v>15</v>
      </c>
      <c r="H100" s="25" t="n">
        <f aca="false">IFERROR(INDEX(Config!$B$3:$B$8,MATCH($G100,Config!$A$3:$A$8,0)),0)</f>
        <v>0</v>
      </c>
      <c r="I100" s="26" t="n">
        <f aca="false">IFERROR(INDEX(Config!$C$3:$C$8,MATCH($G100,Config!$A$3:$A$8,0)),0)</f>
        <v>1</v>
      </c>
      <c r="J100" s="23" t="s">
        <v>370</v>
      </c>
    </row>
    <row r="101" customFormat="false" ht="15" hidden="false" customHeight="false" outlineLevel="0" collapsed="false">
      <c r="A101" s="21" t="n">
        <v>100</v>
      </c>
      <c r="B101" s="21" t="s">
        <v>26</v>
      </c>
      <c r="C101" s="21" t="s">
        <v>52</v>
      </c>
      <c r="D101" s="21" t="s">
        <v>53</v>
      </c>
      <c r="E101" s="22" t="s">
        <v>371</v>
      </c>
      <c r="F101" s="23" t="s">
        <v>372</v>
      </c>
      <c r="G101" s="24" t="s">
        <v>15</v>
      </c>
      <c r="H101" s="25" t="n">
        <f aca="false">IFERROR(INDEX(Config!$B$3:$B$8,MATCH($G101,Config!$A$3:$A$8,0)),0)</f>
        <v>0</v>
      </c>
      <c r="I101" s="26" t="n">
        <f aca="false">IFERROR(INDEX(Config!$C$3:$C$8,MATCH($G101,Config!$A$3:$A$8,0)),0)</f>
        <v>1</v>
      </c>
      <c r="J101" s="23"/>
    </row>
    <row r="102" customFormat="false" ht="15" hidden="false" customHeight="false" outlineLevel="0" collapsed="false">
      <c r="A102" s="21" t="n">
        <v>101</v>
      </c>
      <c r="B102" s="21" t="s">
        <v>26</v>
      </c>
      <c r="C102" s="21" t="s">
        <v>52</v>
      </c>
      <c r="D102" s="21" t="s">
        <v>53</v>
      </c>
      <c r="E102" s="22" t="s">
        <v>373</v>
      </c>
      <c r="F102" s="23" t="s">
        <v>374</v>
      </c>
      <c r="G102" s="24" t="s">
        <v>15</v>
      </c>
      <c r="H102" s="25" t="n">
        <f aca="false">IFERROR(INDEX(Config!$B$3:$B$8,MATCH($G102,Config!$A$3:$A$8,0)),0)</f>
        <v>0</v>
      </c>
      <c r="I102" s="26" t="n">
        <f aca="false">IFERROR(INDEX(Config!$C$3:$C$8,MATCH($G102,Config!$A$3:$A$8,0)),0)</f>
        <v>1</v>
      </c>
      <c r="J102" s="23"/>
    </row>
    <row r="103" customFormat="false" ht="15" hidden="false" customHeight="false" outlineLevel="0" collapsed="false">
      <c r="A103" s="21" t="n">
        <v>102</v>
      </c>
      <c r="B103" s="21" t="s">
        <v>26</v>
      </c>
      <c r="C103" s="21" t="s">
        <v>52</v>
      </c>
      <c r="D103" s="21" t="s">
        <v>53</v>
      </c>
      <c r="E103" s="22" t="s">
        <v>375</v>
      </c>
      <c r="F103" s="23" t="s">
        <v>376</v>
      </c>
      <c r="G103" s="24" t="s">
        <v>15</v>
      </c>
      <c r="H103" s="25" t="n">
        <f aca="false">IFERROR(INDEX(Config!$B$3:$B$8,MATCH($G103,Config!$A$3:$A$8,0)),0)</f>
        <v>0</v>
      </c>
      <c r="I103" s="26" t="n">
        <f aca="false">IFERROR(INDEX(Config!$C$3:$C$8,MATCH($G103,Config!$A$3:$A$8,0)),0)</f>
        <v>1</v>
      </c>
      <c r="J103" s="23"/>
    </row>
    <row r="104" customFormat="false" ht="15" hidden="false" customHeight="false" outlineLevel="0" collapsed="false">
      <c r="A104" s="21" t="n">
        <v>103</v>
      </c>
      <c r="B104" s="21" t="s">
        <v>26</v>
      </c>
      <c r="C104" s="21" t="s">
        <v>52</v>
      </c>
      <c r="D104" s="21" t="s">
        <v>53</v>
      </c>
      <c r="E104" s="22" t="s">
        <v>377</v>
      </c>
      <c r="F104" s="23" t="s">
        <v>378</v>
      </c>
      <c r="G104" s="24" t="s">
        <v>15</v>
      </c>
      <c r="H104" s="25" t="n">
        <f aca="false">IFERROR(INDEX(Config!$B$3:$B$8,MATCH($G104,Config!$A$3:$A$8,0)),0)</f>
        <v>0</v>
      </c>
      <c r="I104" s="26" t="n">
        <f aca="false">IFERROR(INDEX(Config!$C$3:$C$8,MATCH($G104,Config!$A$3:$A$8,0)),0)</f>
        <v>1</v>
      </c>
      <c r="J104" s="23"/>
    </row>
    <row r="105" customFormat="false" ht="15" hidden="false" customHeight="false" outlineLevel="0" collapsed="false">
      <c r="A105" s="21" t="n">
        <v>104</v>
      </c>
      <c r="B105" s="21" t="s">
        <v>26</v>
      </c>
      <c r="C105" s="21" t="s">
        <v>52</v>
      </c>
      <c r="D105" s="21" t="s">
        <v>53</v>
      </c>
      <c r="E105" s="22" t="s">
        <v>379</v>
      </c>
      <c r="F105" s="23" t="s">
        <v>380</v>
      </c>
      <c r="G105" s="24" t="s">
        <v>15</v>
      </c>
      <c r="H105" s="25" t="n">
        <f aca="false">IFERROR(INDEX(Config!$B$3:$B$8,MATCH($G105,Config!$A$3:$A$8,0)),0)</f>
        <v>0</v>
      </c>
      <c r="I105" s="26" t="n">
        <f aca="false">IFERROR(INDEX(Config!$C$3:$C$8,MATCH($G105,Config!$A$3:$A$8,0)),0)</f>
        <v>1</v>
      </c>
      <c r="J105" s="23"/>
    </row>
    <row r="106" customFormat="false" ht="15" hidden="false" customHeight="false" outlineLevel="0" collapsed="false">
      <c r="A106" s="21" t="n">
        <v>105</v>
      </c>
      <c r="B106" s="21" t="s">
        <v>26</v>
      </c>
      <c r="C106" s="21" t="s">
        <v>52</v>
      </c>
      <c r="D106" s="21" t="s">
        <v>53</v>
      </c>
      <c r="E106" s="22" t="s">
        <v>381</v>
      </c>
      <c r="F106" s="23" t="s">
        <v>382</v>
      </c>
      <c r="G106" s="24" t="s">
        <v>15</v>
      </c>
      <c r="H106" s="25" t="n">
        <f aca="false">IFERROR(INDEX(Config!$B$3:$B$8,MATCH($G106,Config!$A$3:$A$8,0)),0)</f>
        <v>0</v>
      </c>
      <c r="I106" s="26" t="n">
        <f aca="false">IFERROR(INDEX(Config!$C$3:$C$8,MATCH($G106,Config!$A$3:$A$8,0)),0)</f>
        <v>1</v>
      </c>
      <c r="J106" s="23" t="s">
        <v>383</v>
      </c>
    </row>
    <row r="107" customFormat="false" ht="15" hidden="false" customHeight="false" outlineLevel="0" collapsed="false">
      <c r="A107" s="21" t="n">
        <v>106</v>
      </c>
      <c r="B107" s="21" t="s">
        <v>26</v>
      </c>
      <c r="C107" s="21" t="s">
        <v>52</v>
      </c>
      <c r="D107" s="21" t="s">
        <v>53</v>
      </c>
      <c r="E107" s="22" t="s">
        <v>384</v>
      </c>
      <c r="F107" s="23" t="s">
        <v>385</v>
      </c>
      <c r="G107" s="24" t="s">
        <v>15</v>
      </c>
      <c r="H107" s="25" t="n">
        <f aca="false">IFERROR(INDEX(Config!$B$3:$B$8,MATCH($G107,Config!$A$3:$A$8,0)),0)</f>
        <v>0</v>
      </c>
      <c r="I107" s="26" t="n">
        <f aca="false">IFERROR(INDEX(Config!$C$3:$C$8,MATCH($G107,Config!$A$3:$A$8,0)),0)</f>
        <v>1</v>
      </c>
      <c r="J107" s="23"/>
    </row>
    <row r="108" customFormat="false" ht="15" hidden="false" customHeight="false" outlineLevel="0" collapsed="false">
      <c r="A108" s="21" t="n">
        <v>107</v>
      </c>
      <c r="B108" s="21" t="s">
        <v>26</v>
      </c>
      <c r="C108" s="21" t="s">
        <v>52</v>
      </c>
      <c r="D108" s="21" t="s">
        <v>53</v>
      </c>
      <c r="E108" s="22" t="s">
        <v>386</v>
      </c>
      <c r="F108" s="23" t="s">
        <v>387</v>
      </c>
      <c r="G108" s="24" t="s">
        <v>15</v>
      </c>
      <c r="H108" s="25" t="n">
        <f aca="false">IFERROR(INDEX(Config!$B$3:$B$8,MATCH($G108,Config!$A$3:$A$8,0)),0)</f>
        <v>0</v>
      </c>
      <c r="I108" s="26" t="n">
        <f aca="false">IFERROR(INDEX(Config!$C$3:$C$8,MATCH($G108,Config!$A$3:$A$8,0)),0)</f>
        <v>1</v>
      </c>
      <c r="J108" s="23"/>
    </row>
    <row r="109" customFormat="false" ht="15" hidden="false" customHeight="false" outlineLevel="0" collapsed="false">
      <c r="A109" s="21" t="n">
        <v>108</v>
      </c>
      <c r="B109" s="21" t="s">
        <v>27</v>
      </c>
      <c r="C109" s="21" t="s">
        <v>54</v>
      </c>
      <c r="D109" s="21" t="s">
        <v>55</v>
      </c>
      <c r="E109" s="22" t="s">
        <v>388</v>
      </c>
      <c r="F109" s="23" t="s">
        <v>389</v>
      </c>
      <c r="G109" s="24" t="s">
        <v>15</v>
      </c>
      <c r="H109" s="25" t="n">
        <f aca="false">IFERROR(INDEX(Config!$B$3:$B$8,MATCH($G109,Config!$A$3:$A$8,0)),0)</f>
        <v>0</v>
      </c>
      <c r="I109" s="26" t="n">
        <f aca="false">IFERROR(INDEX(Config!$C$3:$C$8,MATCH($G109,Config!$A$3:$A$8,0)),0)</f>
        <v>1</v>
      </c>
      <c r="J109" s="23"/>
    </row>
    <row r="110" customFormat="false" ht="15" hidden="false" customHeight="false" outlineLevel="0" collapsed="false">
      <c r="A110" s="21" t="n">
        <v>109</v>
      </c>
      <c r="B110" s="21" t="s">
        <v>27</v>
      </c>
      <c r="C110" s="21" t="s">
        <v>54</v>
      </c>
      <c r="D110" s="21" t="s">
        <v>55</v>
      </c>
      <c r="E110" s="22" t="s">
        <v>390</v>
      </c>
      <c r="F110" s="23" t="s">
        <v>391</v>
      </c>
      <c r="G110" s="24" t="s">
        <v>15</v>
      </c>
      <c r="H110" s="25" t="n">
        <f aca="false">IFERROR(INDEX(Config!$B$3:$B$8,MATCH($G110,Config!$A$3:$A$8,0)),0)</f>
        <v>0</v>
      </c>
      <c r="I110" s="26" t="n">
        <f aca="false">IFERROR(INDEX(Config!$C$3:$C$8,MATCH($G110,Config!$A$3:$A$8,0)),0)</f>
        <v>1</v>
      </c>
      <c r="J110" s="23"/>
    </row>
    <row r="111" customFormat="false" ht="15" hidden="false" customHeight="false" outlineLevel="0" collapsed="false">
      <c r="A111" s="21" t="n">
        <v>110</v>
      </c>
      <c r="B111" s="21" t="s">
        <v>27</v>
      </c>
      <c r="C111" s="21" t="s">
        <v>54</v>
      </c>
      <c r="D111" s="21" t="s">
        <v>55</v>
      </c>
      <c r="E111" s="22" t="s">
        <v>392</v>
      </c>
      <c r="F111" s="23" t="s">
        <v>393</v>
      </c>
      <c r="G111" s="24" t="s">
        <v>15</v>
      </c>
      <c r="H111" s="25" t="n">
        <f aca="false">IFERROR(INDEX(Config!$B$3:$B$8,MATCH($G111,Config!$A$3:$A$8,0)),0)</f>
        <v>0</v>
      </c>
      <c r="I111" s="26" t="n">
        <f aca="false">IFERROR(INDEX(Config!$C$3:$C$8,MATCH($G111,Config!$A$3:$A$8,0)),0)</f>
        <v>1</v>
      </c>
      <c r="J111" s="23"/>
    </row>
    <row r="112" customFormat="false" ht="15" hidden="false" customHeight="false" outlineLevel="0" collapsed="false">
      <c r="A112" s="21" t="n">
        <v>111</v>
      </c>
      <c r="B112" s="21" t="s">
        <v>27</v>
      </c>
      <c r="C112" s="21" t="s">
        <v>54</v>
      </c>
      <c r="D112" s="21" t="s">
        <v>55</v>
      </c>
      <c r="E112" s="22" t="s">
        <v>394</v>
      </c>
      <c r="F112" s="23" t="s">
        <v>395</v>
      </c>
      <c r="G112" s="24" t="s">
        <v>15</v>
      </c>
      <c r="H112" s="25" t="n">
        <f aca="false">IFERROR(INDEX(Config!$B$3:$B$8,MATCH($G112,Config!$A$3:$A$8,0)),0)</f>
        <v>0</v>
      </c>
      <c r="I112" s="26" t="n">
        <f aca="false">IFERROR(INDEX(Config!$C$3:$C$8,MATCH($G112,Config!$A$3:$A$8,0)),0)</f>
        <v>1</v>
      </c>
      <c r="J112" s="23"/>
    </row>
    <row r="113" customFormat="false" ht="15" hidden="false" customHeight="false" outlineLevel="0" collapsed="false">
      <c r="A113" s="21" t="n">
        <v>112</v>
      </c>
      <c r="B113" s="21" t="s">
        <v>27</v>
      </c>
      <c r="C113" s="21" t="s">
        <v>54</v>
      </c>
      <c r="D113" s="21" t="s">
        <v>55</v>
      </c>
      <c r="E113" s="22" t="s">
        <v>396</v>
      </c>
      <c r="F113" s="23" t="s">
        <v>397</v>
      </c>
      <c r="G113" s="24" t="s">
        <v>15</v>
      </c>
      <c r="H113" s="25" t="n">
        <f aca="false">IFERROR(INDEX(Config!$B$3:$B$8,MATCH($G113,Config!$A$3:$A$8,0)),0)</f>
        <v>0</v>
      </c>
      <c r="I113" s="26" t="n">
        <f aca="false">IFERROR(INDEX(Config!$C$3:$C$8,MATCH($G113,Config!$A$3:$A$8,0)),0)</f>
        <v>1</v>
      </c>
      <c r="J113" s="23"/>
    </row>
    <row r="114" customFormat="false" ht="15" hidden="false" customHeight="false" outlineLevel="0" collapsed="false">
      <c r="A114" s="21" t="n">
        <v>113</v>
      </c>
      <c r="B114" s="21" t="s">
        <v>27</v>
      </c>
      <c r="C114" s="21" t="s">
        <v>54</v>
      </c>
      <c r="D114" s="21" t="s">
        <v>55</v>
      </c>
      <c r="E114" s="22" t="s">
        <v>398</v>
      </c>
      <c r="F114" s="23" t="s">
        <v>399</v>
      </c>
      <c r="G114" s="24" t="s">
        <v>15</v>
      </c>
      <c r="H114" s="25" t="n">
        <f aca="false">IFERROR(INDEX(Config!$B$3:$B$8,MATCH($G114,Config!$A$3:$A$8,0)),0)</f>
        <v>0</v>
      </c>
      <c r="I114" s="26" t="n">
        <f aca="false">IFERROR(INDEX(Config!$C$3:$C$8,MATCH($G114,Config!$A$3:$A$8,0)),0)</f>
        <v>1</v>
      </c>
      <c r="J114" s="23"/>
    </row>
    <row r="115" customFormat="false" ht="15" hidden="false" customHeight="false" outlineLevel="0" collapsed="false">
      <c r="A115" s="21" t="n">
        <v>114</v>
      </c>
      <c r="B115" s="21" t="s">
        <v>27</v>
      </c>
      <c r="C115" s="21" t="s">
        <v>54</v>
      </c>
      <c r="D115" s="21" t="s">
        <v>55</v>
      </c>
      <c r="E115" s="22" t="s">
        <v>400</v>
      </c>
      <c r="F115" s="23" t="s">
        <v>401</v>
      </c>
      <c r="G115" s="24" t="s">
        <v>13</v>
      </c>
      <c r="H115" s="25" t="n">
        <f aca="false">IFERROR(INDEX(Config!$B$3:$B$8,MATCH($G115,Config!$A$3:$A$8,0)),0)</f>
        <v>1</v>
      </c>
      <c r="I115" s="26" t="n">
        <f aca="false">IFERROR(INDEX(Config!$C$3:$C$8,MATCH($G115,Config!$A$3:$A$8,0)),0)</f>
        <v>1</v>
      </c>
      <c r="J115" s="23" t="s">
        <v>402</v>
      </c>
    </row>
    <row r="116" customFormat="false" ht="15" hidden="false" customHeight="false" outlineLevel="0" collapsed="false">
      <c r="A116" s="21" t="n">
        <v>115</v>
      </c>
      <c r="B116" s="21" t="s">
        <v>27</v>
      </c>
      <c r="C116" s="21" t="s">
        <v>54</v>
      </c>
      <c r="D116" s="21" t="s">
        <v>55</v>
      </c>
      <c r="E116" s="22" t="s">
        <v>403</v>
      </c>
      <c r="F116" s="23" t="s">
        <v>404</v>
      </c>
      <c r="G116" s="24" t="s">
        <v>15</v>
      </c>
      <c r="H116" s="25" t="n">
        <f aca="false">IFERROR(INDEX(Config!$B$3:$B$8,MATCH($G116,Config!$A$3:$A$8,0)),0)</f>
        <v>0</v>
      </c>
      <c r="I116" s="26" t="n">
        <f aca="false">IFERROR(INDEX(Config!$C$3:$C$8,MATCH($G116,Config!$A$3:$A$8,0)),0)</f>
        <v>1</v>
      </c>
      <c r="J116" s="23"/>
    </row>
    <row r="117" customFormat="false" ht="15" hidden="false" customHeight="false" outlineLevel="0" collapsed="false">
      <c r="A117" s="21" t="n">
        <v>116</v>
      </c>
      <c r="B117" s="21" t="s">
        <v>27</v>
      </c>
      <c r="C117" s="21" t="s">
        <v>54</v>
      </c>
      <c r="D117" s="21" t="s">
        <v>55</v>
      </c>
      <c r="E117" s="22" t="s">
        <v>405</v>
      </c>
      <c r="F117" s="23" t="s">
        <v>406</v>
      </c>
      <c r="G117" s="24" t="s">
        <v>15</v>
      </c>
      <c r="H117" s="25" t="n">
        <f aca="false">IFERROR(INDEX(Config!$B$3:$B$8,MATCH($G117,Config!$A$3:$A$8,0)),0)</f>
        <v>0</v>
      </c>
      <c r="I117" s="26" t="n">
        <f aca="false">IFERROR(INDEX(Config!$C$3:$C$8,MATCH($G117,Config!$A$3:$A$8,0)),0)</f>
        <v>1</v>
      </c>
      <c r="J117" s="23"/>
    </row>
    <row r="118" customFormat="false" ht="23.85" hidden="false" customHeight="false" outlineLevel="0" collapsed="false">
      <c r="A118" s="21" t="n">
        <v>117</v>
      </c>
      <c r="B118" s="21" t="s">
        <v>27</v>
      </c>
      <c r="C118" s="21" t="s">
        <v>56</v>
      </c>
      <c r="D118" s="21" t="s">
        <v>57</v>
      </c>
      <c r="E118" s="22" t="s">
        <v>407</v>
      </c>
      <c r="F118" s="23" t="s">
        <v>408</v>
      </c>
      <c r="G118" s="24" t="s">
        <v>15</v>
      </c>
      <c r="H118" s="25" t="n">
        <f aca="false">IFERROR(INDEX(Config!$B$3:$B$8,MATCH($G118,Config!$A$3:$A$8,0)),0)</f>
        <v>0</v>
      </c>
      <c r="I118" s="26" t="n">
        <f aca="false">IFERROR(INDEX(Config!$C$3:$C$8,MATCH($G118,Config!$A$3:$A$8,0)),0)</f>
        <v>1</v>
      </c>
      <c r="J118" s="23" t="s">
        <v>409</v>
      </c>
    </row>
    <row r="119" customFormat="false" ht="15" hidden="false" customHeight="false" outlineLevel="0" collapsed="false">
      <c r="A119" s="21" t="n">
        <v>118</v>
      </c>
      <c r="B119" s="21" t="s">
        <v>27</v>
      </c>
      <c r="C119" s="21" t="s">
        <v>56</v>
      </c>
      <c r="D119" s="21" t="s">
        <v>57</v>
      </c>
      <c r="E119" s="22" t="s">
        <v>410</v>
      </c>
      <c r="F119" s="23" t="s">
        <v>411</v>
      </c>
      <c r="G119" s="24" t="s">
        <v>15</v>
      </c>
      <c r="H119" s="25" t="n">
        <f aca="false">IFERROR(INDEX(Config!$B$3:$B$8,MATCH($G119,Config!$A$3:$A$8,0)),0)</f>
        <v>0</v>
      </c>
      <c r="I119" s="26" t="n">
        <f aca="false">IFERROR(INDEX(Config!$C$3:$C$8,MATCH($G119,Config!$A$3:$A$8,0)),0)</f>
        <v>1</v>
      </c>
      <c r="J119" s="23" t="s">
        <v>412</v>
      </c>
    </row>
    <row r="120" customFormat="false" ht="15" hidden="false" customHeight="false" outlineLevel="0" collapsed="false">
      <c r="A120" s="21" t="n">
        <v>119</v>
      </c>
      <c r="B120" s="21" t="s">
        <v>27</v>
      </c>
      <c r="C120" s="21" t="s">
        <v>56</v>
      </c>
      <c r="D120" s="21" t="s">
        <v>57</v>
      </c>
      <c r="E120" s="22" t="s">
        <v>413</v>
      </c>
      <c r="F120" s="23" t="s">
        <v>414</v>
      </c>
      <c r="G120" s="24" t="s">
        <v>15</v>
      </c>
      <c r="H120" s="25" t="n">
        <f aca="false">IFERROR(INDEX(Config!$B$3:$B$8,MATCH($G120,Config!$A$3:$A$8,0)),0)</f>
        <v>0</v>
      </c>
      <c r="I120" s="26" t="n">
        <f aca="false">IFERROR(INDEX(Config!$C$3:$C$8,MATCH($G120,Config!$A$3:$A$8,0)),0)</f>
        <v>1</v>
      </c>
      <c r="J120" s="23"/>
    </row>
    <row r="121" customFormat="false" ht="15" hidden="false" customHeight="false" outlineLevel="0" collapsed="false">
      <c r="A121" s="21" t="n">
        <v>120</v>
      </c>
      <c r="B121" s="21" t="s">
        <v>27</v>
      </c>
      <c r="C121" s="21" t="s">
        <v>56</v>
      </c>
      <c r="D121" s="21" t="s">
        <v>57</v>
      </c>
      <c r="E121" s="22" t="s">
        <v>415</v>
      </c>
      <c r="F121" s="23" t="s">
        <v>416</v>
      </c>
      <c r="G121" s="24" t="s">
        <v>15</v>
      </c>
      <c r="H121" s="25" t="n">
        <f aca="false">IFERROR(INDEX(Config!$B$3:$B$8,MATCH($G121,Config!$A$3:$A$8,0)),0)</f>
        <v>0</v>
      </c>
      <c r="I121" s="26" t="n">
        <f aca="false">IFERROR(INDEX(Config!$C$3:$C$8,MATCH($G121,Config!$A$3:$A$8,0)),0)</f>
        <v>1</v>
      </c>
      <c r="J121" s="23"/>
    </row>
    <row r="122" customFormat="false" ht="15" hidden="false" customHeight="false" outlineLevel="0" collapsed="false">
      <c r="A122" s="21" t="n">
        <v>121</v>
      </c>
      <c r="B122" s="21" t="s">
        <v>27</v>
      </c>
      <c r="C122" s="21" t="s">
        <v>56</v>
      </c>
      <c r="D122" s="21" t="s">
        <v>57</v>
      </c>
      <c r="E122" s="22" t="s">
        <v>417</v>
      </c>
      <c r="F122" s="23" t="s">
        <v>418</v>
      </c>
      <c r="G122" s="24" t="s">
        <v>15</v>
      </c>
      <c r="H122" s="25" t="n">
        <f aca="false">IFERROR(INDEX(Config!$B$3:$B$8,MATCH($G122,Config!$A$3:$A$8,0)),0)</f>
        <v>0</v>
      </c>
      <c r="I122" s="26" t="n">
        <f aca="false">IFERROR(INDEX(Config!$C$3:$C$8,MATCH($G122,Config!$A$3:$A$8,0)),0)</f>
        <v>1</v>
      </c>
      <c r="J122" s="23" t="s">
        <v>419</v>
      </c>
    </row>
    <row r="123" customFormat="false" ht="15" hidden="false" customHeight="false" outlineLevel="0" collapsed="false">
      <c r="A123" s="21" t="n">
        <v>122</v>
      </c>
      <c r="B123" s="21" t="s">
        <v>27</v>
      </c>
      <c r="C123" s="21" t="s">
        <v>56</v>
      </c>
      <c r="D123" s="21" t="s">
        <v>57</v>
      </c>
      <c r="E123" s="22" t="s">
        <v>420</v>
      </c>
      <c r="F123" s="23" t="s">
        <v>421</v>
      </c>
      <c r="G123" s="24" t="s">
        <v>15</v>
      </c>
      <c r="H123" s="25" t="n">
        <f aca="false">IFERROR(INDEX(Config!$B$3:$B$8,MATCH($G123,Config!$A$3:$A$8,0)),0)</f>
        <v>0</v>
      </c>
      <c r="I123" s="26" t="n">
        <f aca="false">IFERROR(INDEX(Config!$C$3:$C$8,MATCH($G123,Config!$A$3:$A$8,0)),0)</f>
        <v>1</v>
      </c>
      <c r="J123" s="23" t="s">
        <v>422</v>
      </c>
    </row>
    <row r="124" customFormat="false" ht="15" hidden="false" customHeight="false" outlineLevel="0" collapsed="false">
      <c r="A124" s="21" t="n">
        <v>123</v>
      </c>
      <c r="B124" s="21" t="s">
        <v>27</v>
      </c>
      <c r="C124" s="21" t="s">
        <v>56</v>
      </c>
      <c r="D124" s="21" t="s">
        <v>57</v>
      </c>
      <c r="E124" s="22" t="s">
        <v>423</v>
      </c>
      <c r="F124" s="23" t="s">
        <v>424</v>
      </c>
      <c r="G124" s="24" t="s">
        <v>15</v>
      </c>
      <c r="H124" s="25" t="n">
        <f aca="false">IFERROR(INDEX(Config!$B$3:$B$8,MATCH($G124,Config!$A$3:$A$8,0)),0)</f>
        <v>0</v>
      </c>
      <c r="I124" s="26" t="n">
        <f aca="false">IFERROR(INDEX(Config!$C$3:$C$8,MATCH($G124,Config!$A$3:$A$8,0)),0)</f>
        <v>1</v>
      </c>
      <c r="J124" s="23"/>
    </row>
    <row r="125" customFormat="false" ht="15" hidden="false" customHeight="false" outlineLevel="0" collapsed="false">
      <c r="A125" s="21" t="n">
        <v>124</v>
      </c>
      <c r="B125" s="21" t="s">
        <v>27</v>
      </c>
      <c r="C125" s="21" t="s">
        <v>56</v>
      </c>
      <c r="D125" s="21" t="s">
        <v>57</v>
      </c>
      <c r="E125" s="22" t="s">
        <v>425</v>
      </c>
      <c r="F125" s="23" t="s">
        <v>426</v>
      </c>
      <c r="G125" s="24" t="s">
        <v>15</v>
      </c>
      <c r="H125" s="25" t="n">
        <f aca="false">IFERROR(INDEX(Config!$B$3:$B$8,MATCH($G125,Config!$A$3:$A$8,0)),0)</f>
        <v>0</v>
      </c>
      <c r="I125" s="26" t="n">
        <f aca="false">IFERROR(INDEX(Config!$C$3:$C$8,MATCH($G125,Config!$A$3:$A$8,0)),0)</f>
        <v>1</v>
      </c>
      <c r="J125" s="23"/>
    </row>
    <row r="126" customFormat="false" ht="15" hidden="false" customHeight="false" outlineLevel="0" collapsed="false">
      <c r="A126" s="21" t="n">
        <v>125</v>
      </c>
      <c r="B126" s="21" t="s">
        <v>27</v>
      </c>
      <c r="C126" s="21" t="s">
        <v>56</v>
      </c>
      <c r="D126" s="21" t="s">
        <v>57</v>
      </c>
      <c r="E126" s="22" t="s">
        <v>427</v>
      </c>
      <c r="F126" s="23" t="s">
        <v>406</v>
      </c>
      <c r="G126" s="24" t="s">
        <v>15</v>
      </c>
      <c r="H126" s="25" t="n">
        <f aca="false">IFERROR(INDEX(Config!$B$3:$B$8,MATCH($G126,Config!$A$3:$A$8,0)),0)</f>
        <v>0</v>
      </c>
      <c r="I126" s="26" t="n">
        <f aca="false">IFERROR(INDEX(Config!$C$3:$C$8,MATCH($G126,Config!$A$3:$A$8,0)),0)</f>
        <v>1</v>
      </c>
      <c r="J126" s="23"/>
    </row>
    <row r="127" customFormat="false" ht="15" hidden="false" customHeight="false" outlineLevel="0" collapsed="false">
      <c r="A127" s="21" t="n">
        <v>126</v>
      </c>
      <c r="B127" s="21" t="s">
        <v>27</v>
      </c>
      <c r="C127" s="21" t="s">
        <v>58</v>
      </c>
      <c r="D127" s="21" t="s">
        <v>59</v>
      </c>
      <c r="E127" s="22" t="s">
        <v>428</v>
      </c>
      <c r="F127" s="23" t="s">
        <v>429</v>
      </c>
      <c r="G127" s="24" t="s">
        <v>15</v>
      </c>
      <c r="H127" s="25" t="n">
        <f aca="false">IFERROR(INDEX(Config!$B$3:$B$8,MATCH($G127,Config!$A$3:$A$8,0)),0)</f>
        <v>0</v>
      </c>
      <c r="I127" s="26" t="n">
        <f aca="false">IFERROR(INDEX(Config!$C$3:$C$8,MATCH($G127,Config!$A$3:$A$8,0)),0)</f>
        <v>1</v>
      </c>
      <c r="J127" s="23"/>
    </row>
    <row r="128" customFormat="false" ht="15" hidden="false" customHeight="false" outlineLevel="0" collapsed="false">
      <c r="A128" s="21" t="n">
        <v>127</v>
      </c>
      <c r="B128" s="21" t="s">
        <v>27</v>
      </c>
      <c r="C128" s="21" t="s">
        <v>58</v>
      </c>
      <c r="D128" s="21" t="s">
        <v>59</v>
      </c>
      <c r="E128" s="22" t="s">
        <v>430</v>
      </c>
      <c r="F128" s="23" t="s">
        <v>431</v>
      </c>
      <c r="G128" s="24" t="s">
        <v>15</v>
      </c>
      <c r="H128" s="25" t="n">
        <f aca="false">IFERROR(INDEX(Config!$B$3:$B$8,MATCH($G128,Config!$A$3:$A$8,0)),0)</f>
        <v>0</v>
      </c>
      <c r="I128" s="26" t="n">
        <f aca="false">IFERROR(INDEX(Config!$C$3:$C$8,MATCH($G128,Config!$A$3:$A$8,0)),0)</f>
        <v>1</v>
      </c>
      <c r="J128" s="23"/>
    </row>
    <row r="129" customFormat="false" ht="15" hidden="false" customHeight="false" outlineLevel="0" collapsed="false">
      <c r="A129" s="21" t="n">
        <v>128</v>
      </c>
      <c r="B129" s="21" t="s">
        <v>27</v>
      </c>
      <c r="C129" s="21" t="s">
        <v>58</v>
      </c>
      <c r="D129" s="21" t="s">
        <v>59</v>
      </c>
      <c r="E129" s="22" t="s">
        <v>432</v>
      </c>
      <c r="F129" s="23" t="s">
        <v>433</v>
      </c>
      <c r="G129" s="24" t="s">
        <v>15</v>
      </c>
      <c r="H129" s="25" t="n">
        <f aca="false">IFERROR(INDEX(Config!$B$3:$B$8,MATCH($G129,Config!$A$3:$A$8,0)),0)</f>
        <v>0</v>
      </c>
      <c r="I129" s="26" t="n">
        <f aca="false">IFERROR(INDEX(Config!$C$3:$C$8,MATCH($G129,Config!$A$3:$A$8,0)),0)</f>
        <v>1</v>
      </c>
      <c r="J129" s="23"/>
    </row>
    <row r="130" customFormat="false" ht="15" hidden="false" customHeight="false" outlineLevel="0" collapsed="false">
      <c r="A130" s="21" t="n">
        <v>129</v>
      </c>
      <c r="B130" s="21" t="s">
        <v>27</v>
      </c>
      <c r="C130" s="21" t="s">
        <v>58</v>
      </c>
      <c r="D130" s="21" t="s">
        <v>59</v>
      </c>
      <c r="E130" s="22" t="s">
        <v>434</v>
      </c>
      <c r="F130" s="23" t="s">
        <v>435</v>
      </c>
      <c r="G130" s="24" t="s">
        <v>15</v>
      </c>
      <c r="H130" s="25" t="n">
        <f aca="false">IFERROR(INDEX(Config!$B$3:$B$8,MATCH($G130,Config!$A$3:$A$8,0)),0)</f>
        <v>0</v>
      </c>
      <c r="I130" s="26" t="n">
        <f aca="false">IFERROR(INDEX(Config!$C$3:$C$8,MATCH($G130,Config!$A$3:$A$8,0)),0)</f>
        <v>1</v>
      </c>
      <c r="J130" s="23"/>
    </row>
    <row r="131" customFormat="false" ht="15" hidden="false" customHeight="false" outlineLevel="0" collapsed="false">
      <c r="A131" s="21" t="n">
        <v>130</v>
      </c>
      <c r="B131" s="21" t="s">
        <v>27</v>
      </c>
      <c r="C131" s="21" t="s">
        <v>58</v>
      </c>
      <c r="D131" s="21" t="s">
        <v>59</v>
      </c>
      <c r="E131" s="22" t="s">
        <v>436</v>
      </c>
      <c r="F131" s="23" t="s">
        <v>437</v>
      </c>
      <c r="G131" s="24" t="s">
        <v>15</v>
      </c>
      <c r="H131" s="25" t="n">
        <f aca="false">IFERROR(INDEX(Config!$B$3:$B$8,MATCH($G131,Config!$A$3:$A$8,0)),0)</f>
        <v>0</v>
      </c>
      <c r="I131" s="26" t="n">
        <f aca="false">IFERROR(INDEX(Config!$C$3:$C$8,MATCH($G131,Config!$A$3:$A$8,0)),0)</f>
        <v>1</v>
      </c>
      <c r="J131" s="23"/>
    </row>
    <row r="132" customFormat="false" ht="15" hidden="false" customHeight="false" outlineLevel="0" collapsed="false">
      <c r="A132" s="21" t="n">
        <v>131</v>
      </c>
      <c r="B132" s="21" t="s">
        <v>27</v>
      </c>
      <c r="C132" s="21" t="s">
        <v>58</v>
      </c>
      <c r="D132" s="21" t="s">
        <v>59</v>
      </c>
      <c r="E132" s="22" t="s">
        <v>438</v>
      </c>
      <c r="F132" s="23" t="s">
        <v>439</v>
      </c>
      <c r="G132" s="24" t="s">
        <v>15</v>
      </c>
      <c r="H132" s="25" t="n">
        <f aca="false">IFERROR(INDEX(Config!$B$3:$B$8,MATCH($G132,Config!$A$3:$A$8,0)),0)</f>
        <v>0</v>
      </c>
      <c r="I132" s="26" t="n">
        <f aca="false">IFERROR(INDEX(Config!$C$3:$C$8,MATCH($G132,Config!$A$3:$A$8,0)),0)</f>
        <v>1</v>
      </c>
      <c r="J132" s="23"/>
    </row>
    <row r="133" customFormat="false" ht="15" hidden="false" customHeight="false" outlineLevel="0" collapsed="false">
      <c r="A133" s="21" t="n">
        <v>132</v>
      </c>
      <c r="B133" s="21" t="s">
        <v>27</v>
      </c>
      <c r="C133" s="21" t="s">
        <v>58</v>
      </c>
      <c r="D133" s="21" t="s">
        <v>59</v>
      </c>
      <c r="E133" s="22" t="s">
        <v>440</v>
      </c>
      <c r="F133" s="23" t="s">
        <v>406</v>
      </c>
      <c r="G133" s="24" t="s">
        <v>15</v>
      </c>
      <c r="H133" s="25" t="n">
        <f aca="false">IFERROR(INDEX(Config!$B$3:$B$8,MATCH($G133,Config!$A$3:$A$8,0)),0)</f>
        <v>0</v>
      </c>
      <c r="I133" s="26" t="n">
        <f aca="false">IFERROR(INDEX(Config!$C$3:$C$8,MATCH($G133,Config!$A$3:$A$8,0)),0)</f>
        <v>1</v>
      </c>
      <c r="J133" s="23"/>
    </row>
    <row r="134" customFormat="false" ht="15" hidden="false" customHeight="false" outlineLevel="0" collapsed="false">
      <c r="A134" s="21" t="n">
        <v>133</v>
      </c>
      <c r="B134" s="21" t="s">
        <v>27</v>
      </c>
      <c r="C134" s="21" t="s">
        <v>60</v>
      </c>
      <c r="D134" s="21" t="s">
        <v>61</v>
      </c>
      <c r="E134" s="22" t="s">
        <v>441</v>
      </c>
      <c r="F134" s="23" t="s">
        <v>442</v>
      </c>
      <c r="G134" s="24" t="s">
        <v>15</v>
      </c>
      <c r="H134" s="25" t="n">
        <f aca="false">IFERROR(INDEX(Config!$B$3:$B$8,MATCH($G134,Config!$A$3:$A$8,0)),0)</f>
        <v>0</v>
      </c>
      <c r="I134" s="26" t="n">
        <f aca="false">IFERROR(INDEX(Config!$C$3:$C$8,MATCH($G134,Config!$A$3:$A$8,0)),0)</f>
        <v>1</v>
      </c>
      <c r="J134" s="23"/>
    </row>
    <row r="135" customFormat="false" ht="15" hidden="false" customHeight="false" outlineLevel="0" collapsed="false">
      <c r="A135" s="21" t="n">
        <v>134</v>
      </c>
      <c r="B135" s="21" t="s">
        <v>27</v>
      </c>
      <c r="C135" s="21" t="s">
        <v>60</v>
      </c>
      <c r="D135" s="21" t="s">
        <v>61</v>
      </c>
      <c r="E135" s="22" t="s">
        <v>443</v>
      </c>
      <c r="F135" s="23" t="s">
        <v>444</v>
      </c>
      <c r="G135" s="24" t="s">
        <v>15</v>
      </c>
      <c r="H135" s="25" t="n">
        <f aca="false">IFERROR(INDEX(Config!$B$3:$B$8,MATCH($G135,Config!$A$3:$A$8,0)),0)</f>
        <v>0</v>
      </c>
      <c r="I135" s="26" t="n">
        <f aca="false">IFERROR(INDEX(Config!$C$3:$C$8,MATCH($G135,Config!$A$3:$A$8,0)),0)</f>
        <v>1</v>
      </c>
      <c r="J135" s="23"/>
    </row>
    <row r="136" customFormat="false" ht="15" hidden="false" customHeight="false" outlineLevel="0" collapsed="false">
      <c r="A136" s="21" t="n">
        <v>135</v>
      </c>
      <c r="B136" s="21" t="s">
        <v>27</v>
      </c>
      <c r="C136" s="21" t="s">
        <v>60</v>
      </c>
      <c r="D136" s="21" t="s">
        <v>61</v>
      </c>
      <c r="E136" s="22" t="s">
        <v>445</v>
      </c>
      <c r="F136" s="23" t="s">
        <v>446</v>
      </c>
      <c r="G136" s="24" t="s">
        <v>15</v>
      </c>
      <c r="H136" s="25" t="n">
        <f aca="false">IFERROR(INDEX(Config!$B$3:$B$8,MATCH($G136,Config!$A$3:$A$8,0)),0)</f>
        <v>0</v>
      </c>
      <c r="I136" s="26" t="n">
        <f aca="false">IFERROR(INDEX(Config!$C$3:$C$8,MATCH($G136,Config!$A$3:$A$8,0)),0)</f>
        <v>1</v>
      </c>
      <c r="J136" s="23" t="s">
        <v>447</v>
      </c>
    </row>
    <row r="137" customFormat="false" ht="15" hidden="false" customHeight="false" outlineLevel="0" collapsed="false">
      <c r="A137" s="21" t="n">
        <v>136</v>
      </c>
      <c r="B137" s="21" t="s">
        <v>27</v>
      </c>
      <c r="C137" s="21" t="s">
        <v>60</v>
      </c>
      <c r="D137" s="21" t="s">
        <v>61</v>
      </c>
      <c r="E137" s="22" t="s">
        <v>448</v>
      </c>
      <c r="F137" s="23" t="s">
        <v>449</v>
      </c>
      <c r="G137" s="24" t="s">
        <v>15</v>
      </c>
      <c r="H137" s="25" t="n">
        <f aca="false">IFERROR(INDEX(Config!$B$3:$B$8,MATCH($G137,Config!$A$3:$A$8,0)),0)</f>
        <v>0</v>
      </c>
      <c r="I137" s="26" t="n">
        <f aca="false">IFERROR(INDEX(Config!$C$3:$C$8,MATCH($G137,Config!$A$3:$A$8,0)),0)</f>
        <v>1</v>
      </c>
      <c r="J137" s="23"/>
    </row>
    <row r="138" customFormat="false" ht="15" hidden="false" customHeight="false" outlineLevel="0" collapsed="false">
      <c r="A138" s="21" t="n">
        <v>137</v>
      </c>
      <c r="B138" s="21" t="s">
        <v>27</v>
      </c>
      <c r="C138" s="21" t="s">
        <v>60</v>
      </c>
      <c r="D138" s="21" t="s">
        <v>61</v>
      </c>
      <c r="E138" s="22" t="s">
        <v>450</v>
      </c>
      <c r="F138" s="23" t="s">
        <v>451</v>
      </c>
      <c r="G138" s="24" t="s">
        <v>15</v>
      </c>
      <c r="H138" s="25" t="n">
        <f aca="false">IFERROR(INDEX(Config!$B$3:$B$8,MATCH($G138,Config!$A$3:$A$8,0)),0)</f>
        <v>0</v>
      </c>
      <c r="I138" s="26" t="n">
        <f aca="false">IFERROR(INDEX(Config!$C$3:$C$8,MATCH($G138,Config!$A$3:$A$8,0)),0)</f>
        <v>1</v>
      </c>
      <c r="J138" s="23"/>
    </row>
    <row r="139" customFormat="false" ht="15" hidden="false" customHeight="false" outlineLevel="0" collapsed="false">
      <c r="A139" s="21" t="n">
        <v>138</v>
      </c>
      <c r="B139" s="21" t="s">
        <v>27</v>
      </c>
      <c r="C139" s="21" t="s">
        <v>60</v>
      </c>
      <c r="D139" s="21" t="s">
        <v>61</v>
      </c>
      <c r="E139" s="22" t="s">
        <v>452</v>
      </c>
      <c r="F139" s="23" t="s">
        <v>453</v>
      </c>
      <c r="G139" s="24" t="s">
        <v>15</v>
      </c>
      <c r="H139" s="25" t="n">
        <f aca="false">IFERROR(INDEX(Config!$B$3:$B$8,MATCH($G139,Config!$A$3:$A$8,0)),0)</f>
        <v>0</v>
      </c>
      <c r="I139" s="26" t="n">
        <f aca="false">IFERROR(INDEX(Config!$C$3:$C$8,MATCH($G139,Config!$A$3:$A$8,0)),0)</f>
        <v>1</v>
      </c>
      <c r="J139" s="23"/>
    </row>
    <row r="140" customFormat="false" ht="23.85" hidden="false" customHeight="false" outlineLevel="0" collapsed="false">
      <c r="A140" s="21" t="n">
        <v>139</v>
      </c>
      <c r="B140" s="21" t="s">
        <v>27</v>
      </c>
      <c r="C140" s="21" t="s">
        <v>60</v>
      </c>
      <c r="D140" s="21" t="s">
        <v>61</v>
      </c>
      <c r="E140" s="22" t="s">
        <v>454</v>
      </c>
      <c r="F140" s="23" t="s">
        <v>455</v>
      </c>
      <c r="G140" s="24" t="s">
        <v>15</v>
      </c>
      <c r="H140" s="25" t="n">
        <f aca="false">IFERROR(INDEX(Config!$B$3:$B$8,MATCH($G140,Config!$A$3:$A$8,0)),0)</f>
        <v>0</v>
      </c>
      <c r="I140" s="26" t="n">
        <f aca="false">IFERROR(INDEX(Config!$C$3:$C$8,MATCH($G140,Config!$A$3:$A$8,0)),0)</f>
        <v>1</v>
      </c>
      <c r="J140" s="23"/>
    </row>
    <row r="141" customFormat="false" ht="15" hidden="false" customHeight="false" outlineLevel="0" collapsed="false">
      <c r="A141" s="21" t="n">
        <v>140</v>
      </c>
      <c r="B141" s="21" t="s">
        <v>27</v>
      </c>
      <c r="C141" s="21" t="s">
        <v>60</v>
      </c>
      <c r="D141" s="21" t="s">
        <v>61</v>
      </c>
      <c r="E141" s="22" t="s">
        <v>456</v>
      </c>
      <c r="F141" s="23" t="s">
        <v>457</v>
      </c>
      <c r="G141" s="24" t="s">
        <v>15</v>
      </c>
      <c r="H141" s="25" t="n">
        <f aca="false">IFERROR(INDEX(Config!$B$3:$B$8,MATCH($G141,Config!$A$3:$A$8,0)),0)</f>
        <v>0</v>
      </c>
      <c r="I141" s="26" t="n">
        <f aca="false">IFERROR(INDEX(Config!$C$3:$C$8,MATCH($G141,Config!$A$3:$A$8,0)),0)</f>
        <v>1</v>
      </c>
      <c r="J141" s="23"/>
    </row>
    <row r="142" customFormat="false" ht="15" hidden="false" customHeight="false" outlineLevel="0" collapsed="false">
      <c r="A142" s="21" t="n">
        <v>141</v>
      </c>
      <c r="B142" s="21" t="s">
        <v>27</v>
      </c>
      <c r="C142" s="21" t="s">
        <v>60</v>
      </c>
      <c r="D142" s="21" t="s">
        <v>61</v>
      </c>
      <c r="E142" s="22" t="s">
        <v>458</v>
      </c>
      <c r="F142" s="23" t="s">
        <v>406</v>
      </c>
      <c r="G142" s="24" t="s">
        <v>15</v>
      </c>
      <c r="H142" s="25" t="n">
        <f aca="false">IFERROR(INDEX(Config!$B$3:$B$8,MATCH($G142,Config!$A$3:$A$8,0)),0)</f>
        <v>0</v>
      </c>
      <c r="I142" s="26" t="n">
        <f aca="false">IFERROR(INDEX(Config!$C$3:$C$8,MATCH($G142,Config!$A$3:$A$8,0)),0)</f>
        <v>1</v>
      </c>
      <c r="J142" s="23"/>
    </row>
    <row r="143" customFormat="false" ht="23.85" hidden="false" customHeight="false" outlineLevel="0" collapsed="false">
      <c r="A143" s="21" t="n">
        <v>142</v>
      </c>
      <c r="B143" s="21" t="s">
        <v>28</v>
      </c>
      <c r="C143" s="21" t="s">
        <v>62</v>
      </c>
      <c r="D143" s="21" t="s">
        <v>63</v>
      </c>
      <c r="E143" s="22" t="s">
        <v>459</v>
      </c>
      <c r="F143" s="23" t="s">
        <v>460</v>
      </c>
      <c r="G143" s="24" t="s">
        <v>15</v>
      </c>
      <c r="H143" s="25" t="n">
        <f aca="false">IFERROR(INDEX(Config!$B$3:$B$8,MATCH($G143,Config!$A$3:$A$8,0)),0)</f>
        <v>0</v>
      </c>
      <c r="I143" s="26" t="n">
        <f aca="false">IFERROR(INDEX(Config!$C$3:$C$8,MATCH($G143,Config!$A$3:$A$8,0)),0)</f>
        <v>1</v>
      </c>
      <c r="J143" s="23" t="s">
        <v>461</v>
      </c>
    </row>
    <row r="144" customFormat="false" ht="15" hidden="false" customHeight="false" outlineLevel="0" collapsed="false">
      <c r="A144" s="21" t="n">
        <v>143</v>
      </c>
      <c r="B144" s="21" t="s">
        <v>28</v>
      </c>
      <c r="C144" s="21" t="s">
        <v>62</v>
      </c>
      <c r="D144" s="21" t="s">
        <v>63</v>
      </c>
      <c r="E144" s="22" t="s">
        <v>462</v>
      </c>
      <c r="F144" s="23" t="s">
        <v>463</v>
      </c>
      <c r="G144" s="24" t="s">
        <v>15</v>
      </c>
      <c r="H144" s="25" t="n">
        <f aca="false">IFERROR(INDEX(Config!$B$3:$B$8,MATCH($G144,Config!$A$3:$A$8,0)),0)</f>
        <v>0</v>
      </c>
      <c r="I144" s="26" t="n">
        <f aca="false">IFERROR(INDEX(Config!$C$3:$C$8,MATCH($G144,Config!$A$3:$A$8,0)),0)</f>
        <v>1</v>
      </c>
      <c r="J144" s="23"/>
    </row>
    <row r="145" customFormat="false" ht="15" hidden="false" customHeight="false" outlineLevel="0" collapsed="false">
      <c r="A145" s="21" t="n">
        <v>144</v>
      </c>
      <c r="B145" s="21" t="s">
        <v>28</v>
      </c>
      <c r="C145" s="21" t="s">
        <v>62</v>
      </c>
      <c r="D145" s="21" t="s">
        <v>63</v>
      </c>
      <c r="E145" s="22" t="s">
        <v>464</v>
      </c>
      <c r="F145" s="23" t="s">
        <v>465</v>
      </c>
      <c r="G145" s="24" t="s">
        <v>15</v>
      </c>
      <c r="H145" s="25" t="n">
        <f aca="false">IFERROR(INDEX(Config!$B$3:$B$8,MATCH($G145,Config!$A$3:$A$8,0)),0)</f>
        <v>0</v>
      </c>
      <c r="I145" s="26" t="n">
        <f aca="false">IFERROR(INDEX(Config!$C$3:$C$8,MATCH($G145,Config!$A$3:$A$8,0)),0)</f>
        <v>1</v>
      </c>
      <c r="J145" s="23"/>
    </row>
    <row r="146" customFormat="false" ht="15" hidden="false" customHeight="false" outlineLevel="0" collapsed="false">
      <c r="A146" s="21" t="n">
        <v>145</v>
      </c>
      <c r="B146" s="21" t="s">
        <v>28</v>
      </c>
      <c r="C146" s="21" t="s">
        <v>62</v>
      </c>
      <c r="D146" s="21" t="s">
        <v>63</v>
      </c>
      <c r="E146" s="22" t="s">
        <v>466</v>
      </c>
      <c r="F146" s="23" t="s">
        <v>467</v>
      </c>
      <c r="G146" s="24" t="s">
        <v>15</v>
      </c>
      <c r="H146" s="25" t="n">
        <f aca="false">IFERROR(INDEX(Config!$B$3:$B$8,MATCH($G146,Config!$A$3:$A$8,0)),0)</f>
        <v>0</v>
      </c>
      <c r="I146" s="26" t="n">
        <f aca="false">IFERROR(INDEX(Config!$C$3:$C$8,MATCH($G146,Config!$A$3:$A$8,0)),0)</f>
        <v>1</v>
      </c>
      <c r="J146" s="23"/>
    </row>
    <row r="147" customFormat="false" ht="15" hidden="false" customHeight="false" outlineLevel="0" collapsed="false">
      <c r="A147" s="21" t="n">
        <v>146</v>
      </c>
      <c r="B147" s="21" t="s">
        <v>28</v>
      </c>
      <c r="C147" s="21" t="s">
        <v>62</v>
      </c>
      <c r="D147" s="21" t="s">
        <v>63</v>
      </c>
      <c r="E147" s="22" t="s">
        <v>468</v>
      </c>
      <c r="F147" s="23" t="s">
        <v>469</v>
      </c>
      <c r="G147" s="24" t="s">
        <v>15</v>
      </c>
      <c r="H147" s="25" t="n">
        <f aca="false">IFERROR(INDEX(Config!$B$3:$B$8,MATCH($G147,Config!$A$3:$A$8,0)),0)</f>
        <v>0</v>
      </c>
      <c r="I147" s="26" t="n">
        <f aca="false">IFERROR(INDEX(Config!$C$3:$C$8,MATCH($G147,Config!$A$3:$A$8,0)),0)</f>
        <v>1</v>
      </c>
      <c r="J147" s="23"/>
    </row>
    <row r="148" customFormat="false" ht="15" hidden="false" customHeight="false" outlineLevel="0" collapsed="false">
      <c r="A148" s="21" t="n">
        <v>147</v>
      </c>
      <c r="B148" s="21" t="s">
        <v>28</v>
      </c>
      <c r="C148" s="21" t="s">
        <v>62</v>
      </c>
      <c r="D148" s="21" t="s">
        <v>63</v>
      </c>
      <c r="E148" s="22" t="s">
        <v>470</v>
      </c>
      <c r="F148" s="23" t="s">
        <v>471</v>
      </c>
      <c r="G148" s="24" t="s">
        <v>15</v>
      </c>
      <c r="H148" s="25" t="n">
        <f aca="false">IFERROR(INDEX(Config!$B$3:$B$8,MATCH($G148,Config!$A$3:$A$8,0)),0)</f>
        <v>0</v>
      </c>
      <c r="I148" s="26" t="n">
        <f aca="false">IFERROR(INDEX(Config!$C$3:$C$8,MATCH($G148,Config!$A$3:$A$8,0)),0)</f>
        <v>1</v>
      </c>
      <c r="J148" s="23"/>
    </row>
    <row r="149" customFormat="false" ht="15" hidden="false" customHeight="false" outlineLevel="0" collapsed="false">
      <c r="A149" s="21" t="n">
        <v>148</v>
      </c>
      <c r="B149" s="21" t="s">
        <v>28</v>
      </c>
      <c r="C149" s="21" t="s">
        <v>62</v>
      </c>
      <c r="D149" s="21" t="s">
        <v>63</v>
      </c>
      <c r="E149" s="22" t="s">
        <v>472</v>
      </c>
      <c r="F149" s="23" t="s">
        <v>473</v>
      </c>
      <c r="G149" s="24" t="s">
        <v>15</v>
      </c>
      <c r="H149" s="25" t="n">
        <f aca="false">IFERROR(INDEX(Config!$B$3:$B$8,MATCH($G149,Config!$A$3:$A$8,0)),0)</f>
        <v>0</v>
      </c>
      <c r="I149" s="26" t="n">
        <f aca="false">IFERROR(INDEX(Config!$C$3:$C$8,MATCH($G149,Config!$A$3:$A$8,0)),0)</f>
        <v>1</v>
      </c>
      <c r="J149" s="23"/>
    </row>
    <row r="150" customFormat="false" ht="15" hidden="false" customHeight="false" outlineLevel="0" collapsed="false">
      <c r="A150" s="21" t="n">
        <v>149</v>
      </c>
      <c r="B150" s="21" t="s">
        <v>28</v>
      </c>
      <c r="C150" s="21" t="s">
        <v>62</v>
      </c>
      <c r="D150" s="21" t="s">
        <v>63</v>
      </c>
      <c r="E150" s="22" t="s">
        <v>474</v>
      </c>
      <c r="F150" s="23" t="s">
        <v>406</v>
      </c>
      <c r="G150" s="24" t="s">
        <v>15</v>
      </c>
      <c r="H150" s="25" t="n">
        <f aca="false">IFERROR(INDEX(Config!$B$3:$B$8,MATCH($G150,Config!$A$3:$A$8,0)),0)</f>
        <v>0</v>
      </c>
      <c r="I150" s="26" t="n">
        <f aca="false">IFERROR(INDEX(Config!$C$3:$C$8,MATCH($G150,Config!$A$3:$A$8,0)),0)</f>
        <v>1</v>
      </c>
      <c r="J150" s="23"/>
    </row>
    <row r="151" customFormat="false" ht="15" hidden="false" customHeight="false" outlineLevel="0" collapsed="false">
      <c r="A151" s="21" t="n">
        <v>150</v>
      </c>
      <c r="B151" s="21" t="s">
        <v>28</v>
      </c>
      <c r="C151" s="21" t="s">
        <v>62</v>
      </c>
      <c r="D151" s="21" t="s">
        <v>63</v>
      </c>
      <c r="E151" s="22" t="s">
        <v>475</v>
      </c>
      <c r="F151" s="23" t="s">
        <v>476</v>
      </c>
      <c r="G151" s="24" t="s">
        <v>15</v>
      </c>
      <c r="H151" s="25" t="n">
        <f aca="false">IFERROR(INDEX(Config!$B$3:$B$8,MATCH($G151,Config!$A$3:$A$8,0)),0)</f>
        <v>0</v>
      </c>
      <c r="I151" s="26" t="n">
        <f aca="false">IFERROR(INDEX(Config!$C$3:$C$8,MATCH($G151,Config!$A$3:$A$8,0)),0)</f>
        <v>1</v>
      </c>
      <c r="J151" s="23" t="s">
        <v>477</v>
      </c>
    </row>
    <row r="152" customFormat="false" ht="15" hidden="false" customHeight="false" outlineLevel="0" collapsed="false">
      <c r="A152" s="21" t="n">
        <v>151</v>
      </c>
      <c r="B152" s="21" t="s">
        <v>28</v>
      </c>
      <c r="C152" s="21" t="s">
        <v>64</v>
      </c>
      <c r="D152" s="21" t="s">
        <v>65</v>
      </c>
      <c r="E152" s="22" t="s">
        <v>478</v>
      </c>
      <c r="F152" s="23" t="s">
        <v>479</v>
      </c>
      <c r="G152" s="24" t="s">
        <v>15</v>
      </c>
      <c r="H152" s="25" t="n">
        <f aca="false">IFERROR(INDEX(Config!$B$3:$B$8,MATCH($G152,Config!$A$3:$A$8,0)),0)</f>
        <v>0</v>
      </c>
      <c r="I152" s="26" t="n">
        <f aca="false">IFERROR(INDEX(Config!$C$3:$C$8,MATCH($G152,Config!$A$3:$A$8,0)),0)</f>
        <v>1</v>
      </c>
      <c r="J152" s="23"/>
    </row>
    <row r="153" customFormat="false" ht="15" hidden="false" customHeight="false" outlineLevel="0" collapsed="false">
      <c r="A153" s="21" t="n">
        <v>152</v>
      </c>
      <c r="B153" s="21" t="s">
        <v>28</v>
      </c>
      <c r="C153" s="21" t="s">
        <v>64</v>
      </c>
      <c r="D153" s="21" t="s">
        <v>65</v>
      </c>
      <c r="E153" s="22" t="s">
        <v>480</v>
      </c>
      <c r="F153" s="23" t="s">
        <v>481</v>
      </c>
      <c r="G153" s="24" t="s">
        <v>15</v>
      </c>
      <c r="H153" s="25" t="n">
        <f aca="false">IFERROR(INDEX(Config!$B$3:$B$8,MATCH($G153,Config!$A$3:$A$8,0)),0)</f>
        <v>0</v>
      </c>
      <c r="I153" s="26" t="n">
        <f aca="false">IFERROR(INDEX(Config!$C$3:$C$8,MATCH($G153,Config!$A$3:$A$8,0)),0)</f>
        <v>1</v>
      </c>
      <c r="J153" s="23"/>
    </row>
    <row r="154" customFormat="false" ht="15" hidden="false" customHeight="false" outlineLevel="0" collapsed="false">
      <c r="A154" s="21" t="n">
        <v>153</v>
      </c>
      <c r="B154" s="21" t="s">
        <v>28</v>
      </c>
      <c r="C154" s="21" t="s">
        <v>64</v>
      </c>
      <c r="D154" s="21" t="s">
        <v>65</v>
      </c>
      <c r="E154" s="22" t="s">
        <v>482</v>
      </c>
      <c r="F154" s="23" t="s">
        <v>483</v>
      </c>
      <c r="G154" s="24" t="s">
        <v>15</v>
      </c>
      <c r="H154" s="25" t="n">
        <f aca="false">IFERROR(INDEX(Config!$B$3:$B$8,MATCH($G154,Config!$A$3:$A$8,0)),0)</f>
        <v>0</v>
      </c>
      <c r="I154" s="26" t="n">
        <f aca="false">IFERROR(INDEX(Config!$C$3:$C$8,MATCH($G154,Config!$A$3:$A$8,0)),0)</f>
        <v>1</v>
      </c>
      <c r="J154" s="23"/>
    </row>
    <row r="155" customFormat="false" ht="15" hidden="false" customHeight="false" outlineLevel="0" collapsed="false">
      <c r="A155" s="21" t="n">
        <v>154</v>
      </c>
      <c r="B155" s="21" t="s">
        <v>28</v>
      </c>
      <c r="C155" s="21" t="s">
        <v>64</v>
      </c>
      <c r="D155" s="21" t="s">
        <v>65</v>
      </c>
      <c r="E155" s="22" t="s">
        <v>484</v>
      </c>
      <c r="F155" s="23" t="s">
        <v>485</v>
      </c>
      <c r="G155" s="24" t="s">
        <v>15</v>
      </c>
      <c r="H155" s="25" t="n">
        <f aca="false">IFERROR(INDEX(Config!$B$3:$B$8,MATCH($G155,Config!$A$3:$A$8,0)),0)</f>
        <v>0</v>
      </c>
      <c r="I155" s="26" t="n">
        <f aca="false">IFERROR(INDEX(Config!$C$3:$C$8,MATCH($G155,Config!$A$3:$A$8,0)),0)</f>
        <v>1</v>
      </c>
      <c r="J155" s="23" t="s">
        <v>486</v>
      </c>
    </row>
    <row r="156" customFormat="false" ht="15" hidden="false" customHeight="false" outlineLevel="0" collapsed="false">
      <c r="A156" s="21" t="n">
        <v>155</v>
      </c>
      <c r="B156" s="21" t="s">
        <v>28</v>
      </c>
      <c r="C156" s="21" t="s">
        <v>64</v>
      </c>
      <c r="D156" s="21" t="s">
        <v>65</v>
      </c>
      <c r="E156" s="22" t="s">
        <v>487</v>
      </c>
      <c r="F156" s="23" t="s">
        <v>488</v>
      </c>
      <c r="G156" s="24" t="s">
        <v>15</v>
      </c>
      <c r="H156" s="25" t="n">
        <f aca="false">IFERROR(INDEX(Config!$B$3:$B$8,MATCH($G156,Config!$A$3:$A$8,0)),0)</f>
        <v>0</v>
      </c>
      <c r="I156" s="26" t="n">
        <f aca="false">IFERROR(INDEX(Config!$C$3:$C$8,MATCH($G156,Config!$A$3:$A$8,0)),0)</f>
        <v>1</v>
      </c>
      <c r="J156" s="23"/>
    </row>
    <row r="157" customFormat="false" ht="15" hidden="false" customHeight="false" outlineLevel="0" collapsed="false">
      <c r="A157" s="21" t="n">
        <v>156</v>
      </c>
      <c r="B157" s="21" t="s">
        <v>28</v>
      </c>
      <c r="C157" s="21" t="s">
        <v>64</v>
      </c>
      <c r="D157" s="21" t="s">
        <v>65</v>
      </c>
      <c r="E157" s="22" t="s">
        <v>489</v>
      </c>
      <c r="F157" s="23" t="s">
        <v>490</v>
      </c>
      <c r="G157" s="24" t="s">
        <v>15</v>
      </c>
      <c r="H157" s="25" t="n">
        <f aca="false">IFERROR(INDEX(Config!$B$3:$B$8,MATCH($G157,Config!$A$3:$A$8,0)),0)</f>
        <v>0</v>
      </c>
      <c r="I157" s="26" t="n">
        <f aca="false">IFERROR(INDEX(Config!$C$3:$C$8,MATCH($G157,Config!$A$3:$A$8,0)),0)</f>
        <v>1</v>
      </c>
      <c r="J157" s="23"/>
    </row>
    <row r="158" customFormat="false" ht="15" hidden="false" customHeight="false" outlineLevel="0" collapsed="false">
      <c r="A158" s="21" t="n">
        <v>157</v>
      </c>
      <c r="B158" s="21" t="s">
        <v>28</v>
      </c>
      <c r="C158" s="21" t="s">
        <v>64</v>
      </c>
      <c r="D158" s="21" t="s">
        <v>65</v>
      </c>
      <c r="E158" s="22" t="s">
        <v>491</v>
      </c>
      <c r="F158" s="23" t="s">
        <v>492</v>
      </c>
      <c r="G158" s="24" t="s">
        <v>15</v>
      </c>
      <c r="H158" s="25" t="n">
        <f aca="false">IFERROR(INDEX(Config!$B$3:$B$8,MATCH($G158,Config!$A$3:$A$8,0)),0)</f>
        <v>0</v>
      </c>
      <c r="I158" s="26" t="n">
        <f aca="false">IFERROR(INDEX(Config!$C$3:$C$8,MATCH($G158,Config!$A$3:$A$8,0)),0)</f>
        <v>1</v>
      </c>
      <c r="J158" s="23"/>
    </row>
    <row r="159" customFormat="false" ht="15" hidden="false" customHeight="false" outlineLevel="0" collapsed="false">
      <c r="A159" s="21" t="n">
        <v>158</v>
      </c>
      <c r="B159" s="21" t="s">
        <v>28</v>
      </c>
      <c r="C159" s="21" t="s">
        <v>66</v>
      </c>
      <c r="D159" s="21" t="s">
        <v>67</v>
      </c>
      <c r="E159" s="22" t="s">
        <v>493</v>
      </c>
      <c r="F159" s="23" t="s">
        <v>494</v>
      </c>
      <c r="G159" s="24" t="s">
        <v>15</v>
      </c>
      <c r="H159" s="25" t="n">
        <f aca="false">IFERROR(INDEX(Config!$B$3:$B$8,MATCH($G159,Config!$A$3:$A$8,0)),0)</f>
        <v>0</v>
      </c>
      <c r="I159" s="26" t="n">
        <f aca="false">IFERROR(INDEX(Config!$C$3:$C$8,MATCH($G159,Config!$A$3:$A$8,0)),0)</f>
        <v>1</v>
      </c>
      <c r="J159" s="23"/>
    </row>
    <row r="160" customFormat="false" ht="15" hidden="false" customHeight="false" outlineLevel="0" collapsed="false">
      <c r="A160" s="21" t="n">
        <v>159</v>
      </c>
      <c r="B160" s="21" t="s">
        <v>28</v>
      </c>
      <c r="C160" s="21" t="s">
        <v>66</v>
      </c>
      <c r="D160" s="21" t="s">
        <v>67</v>
      </c>
      <c r="E160" s="22" t="s">
        <v>495</v>
      </c>
      <c r="F160" s="23" t="s">
        <v>496</v>
      </c>
      <c r="G160" s="24" t="s">
        <v>15</v>
      </c>
      <c r="H160" s="25" t="n">
        <f aca="false">IFERROR(INDEX(Config!$B$3:$B$8,MATCH($G160,Config!$A$3:$A$8,0)),0)</f>
        <v>0</v>
      </c>
      <c r="I160" s="26" t="n">
        <f aca="false">IFERROR(INDEX(Config!$C$3:$C$8,MATCH($G160,Config!$A$3:$A$8,0)),0)</f>
        <v>1</v>
      </c>
      <c r="J160" s="23"/>
    </row>
    <row r="161" customFormat="false" ht="15" hidden="false" customHeight="false" outlineLevel="0" collapsed="false">
      <c r="A161" s="21" t="n">
        <v>160</v>
      </c>
      <c r="B161" s="21" t="s">
        <v>28</v>
      </c>
      <c r="C161" s="21" t="s">
        <v>66</v>
      </c>
      <c r="D161" s="21" t="s">
        <v>67</v>
      </c>
      <c r="E161" s="22" t="s">
        <v>497</v>
      </c>
      <c r="F161" s="23" t="s">
        <v>498</v>
      </c>
      <c r="G161" s="24" t="s">
        <v>15</v>
      </c>
      <c r="H161" s="25" t="n">
        <f aca="false">IFERROR(INDEX(Config!$B$3:$B$8,MATCH($G161,Config!$A$3:$A$8,0)),0)</f>
        <v>0</v>
      </c>
      <c r="I161" s="26" t="n">
        <f aca="false">IFERROR(INDEX(Config!$C$3:$C$8,MATCH($G161,Config!$A$3:$A$8,0)),0)</f>
        <v>1</v>
      </c>
      <c r="J161" s="23"/>
    </row>
    <row r="162" customFormat="false" ht="15" hidden="false" customHeight="false" outlineLevel="0" collapsed="false">
      <c r="A162" s="21" t="n">
        <v>161</v>
      </c>
      <c r="B162" s="21" t="s">
        <v>28</v>
      </c>
      <c r="C162" s="21" t="s">
        <v>66</v>
      </c>
      <c r="D162" s="21" t="s">
        <v>67</v>
      </c>
      <c r="E162" s="22" t="s">
        <v>499</v>
      </c>
      <c r="F162" s="23" t="s">
        <v>500</v>
      </c>
      <c r="G162" s="24" t="s">
        <v>15</v>
      </c>
      <c r="H162" s="25" t="n">
        <f aca="false">IFERROR(INDEX(Config!$B$3:$B$8,MATCH($G162,Config!$A$3:$A$8,0)),0)</f>
        <v>0</v>
      </c>
      <c r="I162" s="26" t="n">
        <f aca="false">IFERROR(INDEX(Config!$C$3:$C$8,MATCH($G162,Config!$A$3:$A$8,0)),0)</f>
        <v>1</v>
      </c>
      <c r="J162" s="23"/>
    </row>
    <row r="163" customFormat="false" ht="15" hidden="false" customHeight="false" outlineLevel="0" collapsed="false">
      <c r="A163" s="21" t="n">
        <v>162</v>
      </c>
      <c r="B163" s="21" t="s">
        <v>28</v>
      </c>
      <c r="C163" s="21" t="s">
        <v>66</v>
      </c>
      <c r="D163" s="21" t="s">
        <v>67</v>
      </c>
      <c r="E163" s="22" t="s">
        <v>501</v>
      </c>
      <c r="F163" s="23" t="s">
        <v>502</v>
      </c>
      <c r="G163" s="24" t="s">
        <v>15</v>
      </c>
      <c r="H163" s="25" t="n">
        <f aca="false">IFERROR(INDEX(Config!$B$3:$B$8,MATCH($G163,Config!$A$3:$A$8,0)),0)</f>
        <v>0</v>
      </c>
      <c r="I163" s="26" t="n">
        <f aca="false">IFERROR(INDEX(Config!$C$3:$C$8,MATCH($G163,Config!$A$3:$A$8,0)),0)</f>
        <v>1</v>
      </c>
      <c r="J163" s="23"/>
    </row>
    <row r="164" customFormat="false" ht="15" hidden="false" customHeight="false" outlineLevel="0" collapsed="false">
      <c r="A164" s="21" t="n">
        <v>163</v>
      </c>
      <c r="B164" s="21" t="s">
        <v>28</v>
      </c>
      <c r="C164" s="21" t="s">
        <v>66</v>
      </c>
      <c r="D164" s="21" t="s">
        <v>67</v>
      </c>
      <c r="E164" s="22" t="s">
        <v>503</v>
      </c>
      <c r="F164" s="23" t="s">
        <v>504</v>
      </c>
      <c r="G164" s="24" t="s">
        <v>15</v>
      </c>
      <c r="H164" s="25" t="n">
        <f aca="false">IFERROR(INDEX(Config!$B$3:$B$8,MATCH($G164,Config!$A$3:$A$8,0)),0)</f>
        <v>0</v>
      </c>
      <c r="I164" s="26" t="n">
        <f aca="false">IFERROR(INDEX(Config!$C$3:$C$8,MATCH($G164,Config!$A$3:$A$8,0)),0)</f>
        <v>1</v>
      </c>
      <c r="J164" s="23"/>
    </row>
  </sheetData>
  <autoFilter ref="A1:J164"/>
  <conditionalFormatting sqref="G2:G164">
    <cfRule type="cellIs" priority="2" operator="equal" aboveAverage="0" equalAverage="0" bottom="0" percent="0" rank="0" text="" dxfId="13">
      <formula>"Terminado"</formula>
    </cfRule>
    <cfRule type="cellIs" priority="3" operator="equal" aboveAverage="0" equalAverage="0" bottom="0" percent="0" rank="0" text="" dxfId="14">
      <formula>"En curso"</formula>
    </cfRule>
    <cfRule type="cellIs" priority="4" operator="equal" aboveAverage="0" equalAverage="0" bottom="0" percent="0" rank="0" text="" dxfId="15">
      <formula>"Pendiente"</formula>
    </cfRule>
    <cfRule type="cellIs" priority="5" operator="equal" aboveAverage="0" equalAverage="0" bottom="0" percent="0" rank="0" text="" dxfId="16">
      <formula>"Bloqueado"</formula>
    </cfRule>
    <cfRule type="cellIs" priority="6" operator="equal" aboveAverage="0" equalAverage="0" bottom="0" percent="0" rank="0" text="" dxfId="17">
      <formula>"Aplazado"</formula>
    </cfRule>
    <cfRule type="cellIs" priority="7" operator="equal" aboveAverage="0" equalAverage="0" bottom="0" percent="0" rank="0" text="" dxfId="18">
      <formula>"No aplica"</formula>
    </cfRule>
  </conditionalFormatting>
  <dataValidations count="1">
    <dataValidation allowBlank="false" error="Elija uno de los estados de la hoja Config." errorStyle="stop" errorTitle="Estado no valido" operator="between" prompt="Elija el estado de esta actividad." promptTitle="Estado" showDropDown="false" showErrorMessage="true" showInputMessage="false" sqref="G2:G164"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2026-08-26T02:16:46Z</dcterms:created>
  <dc:creator>openpyxl</dc:creator>
  <dc:description/>
  <dc:language>en-US</dc:language>
  <cp:lastModifiedBy/>
  <dcterms:modified xsi:type="dcterms:W3CDTF">2026-08-26T02:16:46Z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