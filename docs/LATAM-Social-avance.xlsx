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 name="Tareas" sheetId="4" state="visible" r:id="rId6"/>
    <sheet name="Preguntas" sheetId="5" state="visible" r:id="rId7"/>
    <sheet name="Decisiones" sheetId="6" state="visible" r:id="rId8"/>
  </sheets>
  <definedNames>
    <definedName function="false" hidden="true" localSheetId="2" name="_xlnm._FilterDatabase" vbProcedure="false">Actividades!$A$1:$J$174</definedName>
    <definedName function="false" hidden="true" localSheetId="5" name="_xlnm._FilterDatabase" vbProcedure="false">Decisiones!$A$2:$F$201</definedName>
    <definedName function="false" hidden="true" localSheetId="4" name="_xlnm._FilterDatabase" vbProcedure="false">Preguntas!$A$2:$G$60</definedName>
    <definedName function="false" hidden="true" localSheetId="3" name="_xlnm._FilterDatabase" vbProcedure="false">Tareas!$A$2:$G$65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<sst xmlns="http://schemas.openxmlformats.org/spreadsheetml/2006/main" count="3123" uniqueCount="1623">
  <si>
    <t xml:space="preserve">LATAM Social - avance del alcance completo</t>
  </si>
  <si>
    <t xml:space="preserve">Cifras al 2026-08-31. El estado de cada actividad se cambia en la hoja «Actividades».</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</si>
  <si>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</si>
  <si>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</si>
  <si>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</si>
  <si>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</si>
  <si>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</si>
  <si>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</si>
  <si>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</si>
  <si>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</si>
  <si>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</si>
  <si>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</si>
  <si>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</si>
  <si>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</si>
  <si>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</si>
  <si>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</si>
  <si>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</si>
  <si>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</si>
  <si>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</si>
  <si>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</si>
  <si>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</si>
  <si>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</si>
  <si>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</si>
  <si>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</si>
  <si>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</si>
  <si>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</si>
  <si>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</si>
  <si>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</si>
  <si>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</si>
  <si>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</si>
  <si>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</si>
  <si>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</si>
  <si>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</si>
  <si>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</si>
  <si>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</si>
  <si>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</si>
  <si>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</si>
  <si>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</si>
  <si>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</si>
  <si>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</si>
  <si>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</si>
  <si>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</si>
  <si>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</si>
  <si>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</si>
  <si>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</si>
  <si>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</si>
  <si>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</si>
  <si>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</si>
  <si>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</si>
  <si>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</si>
  <si>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</si>
  <si>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</si>
  <si>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</si>
  <si>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</si>
  <si>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</si>
  <si>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</si>
  <si>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</si>
  <si>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</si>
  <si>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</si>
  <si>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</si>
  <si>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</si>
  <si>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</si>
  <si>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</si>
  <si>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</si>
  <si>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</si>
  <si>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</si>
  <si>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</si>
  <si>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</si>
  <si>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</si>
  <si>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</si>
  <si>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</si>
  <si>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</si>
  <si>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</si>
  <si>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</si>
  <si>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 La numeracion de F9 se reordeno al ejecutar: la fila «9.2» de esta hoja es la iteracion 9.3 del roadmap, y asi las siguientes. La nota de cada fila lo dice.</t>
  </si>
  <si>
    <t xml:space="preserve">- Las filas marcadas «FUERA DEL ALCANCE ORIGINAL» son iteraciones que no estaban en el plan y se hicieron porque el trabajo las destapo. Cuentan en el total.</t>
  </si>
  <si>
    <t xml:space="preserve">Tareas, preguntas y decisiones</t>
  </si>
  <si>
    <t xml:space="preserve">Que se mira</t>
  </si>
  <si>
    <t xml:space="preserve">Abiertas</t>
  </si>
  <si>
    <t xml:space="preserve">Total</t>
  </si>
  <si>
    <t xml:space="preserve">Tareas (hoja «Tareas»)</t>
  </si>
  <si>
    <t xml:space="preserve">Preguntas de negocio (hoja «Preguntas»)</t>
  </si>
  <si>
    <t xml:space="preserve">De ellas, críticas y sin respuesta</t>
  </si>
  <si>
    <t xml:space="preserve">Decisiones sin firma formal (hoja «Decisiones»)</t>
  </si>
  <si>
    <t xml:space="preserve">- Una pregunta abierta no es una duda: es trabajo parado. Una decisión «Propuesta» está construida y funcionando, y lo que le falta es tu confirmación explícita.</t>
  </si>
  <si>
    <t xml:space="preserve">Tareas y preguntas abiertas</t>
  </si>
  <si>
    <t xml:space="preserve">De ellas, criticas (rojas) y sin respuesta</t>
  </si>
  <si>
    <t xml:space="preserve">- Una pregunta abierta no es una duda: es trabajo parado. Q-40 (tu contador) para las retenciones, Q-44 (tu contador) la facturacion, T-09 (tu abogado) toda activacion de creadores.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</si>
  <si>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</si>
  <si>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</si>
  <si>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</si>
  <si>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</si>
  <si>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</si>
  <si>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</si>
  <si>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</si>
  <si>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</si>
  <si>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</si>
  <si>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</si>
  <si>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</si>
  <si>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</si>
  <si>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</si>
  <si>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</si>
  <si>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</si>
  <si>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</si>
  <si>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</si>
  <si>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</si>
  <si>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</si>
  <si>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</si>
  <si>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</si>
  <si>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</si>
  <si>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</si>
  <si>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</si>
  <si>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</si>
  <si>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</si>
  <si>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</si>
  <si>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</si>
  <si>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</si>
  <si>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</si>
  <si>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</si>
  <si>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</si>
  <si>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</si>
  <si>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</si>
  <si>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</si>
  <si>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</si>
  <si>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</si>
  <si>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</si>
  <si>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</si>
  <si>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</si>
  <si>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</si>
  <si>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</si>
  <si>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</si>
  <si>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</si>
  <si>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</si>
  <si>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</si>
  <si>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</si>
  <si>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</si>
  <si>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</si>
  <si>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</si>
  <si>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</si>
  <si>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</si>
  <si>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</si>
  <si>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</si>
  <si>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</si>
  <si>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</si>
  <si>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</si>
  <si>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</si>
  <si>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</si>
  <si>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</si>
  <si>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</si>
  <si>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</si>
  <si>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</si>
  <si>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</si>
  <si>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</si>
  <si>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</si>
  <si>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</si>
  <si>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</si>
  <si>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</si>
  <si>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</si>
  <si>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</si>
  <si>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</si>
  <si>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</si>
  <si>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</si>
  <si>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</si>
  <si>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</si>
  <si>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Q-29/Q-30 respondidas (2026-08-30): la identidad visual se configura desde el admin (9.17). El kit de marca esta en marca/, pero el wordmark usa una tipografia de sistema y no una de diseno (T-71): en cuanto haya uno de verdad se sube desde la pantalla.</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</si>
  <si>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</si>
  <si>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</si>
  <si>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</si>
  <si>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</si>
  <si>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</si>
  <si>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</si>
  <si>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</si>
  <si>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</si>
  <si>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</si>
  <si>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</si>
  <si>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</si>
  <si>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</si>
  <si>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</si>
  <si>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</si>
  <si>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</si>
  <si>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</si>
  <si>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</si>
  <si>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docs/fase-5/5.9 y docs/fase-7/7.6b. DEC-113 a DEC-118 y DEC-126. Recuperacion por enlace, misma respuesta exista o no el correo, URL sin token. Desde 7.6b tampoco se teclea la del equipo (BR-SEC-004 cerrada). Falta la verificacion de correo</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</si>
  <si>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</si>
  <si>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</si>
  <si>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</si>
  <si>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</si>
  <si>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</si>
  <si>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</si>
  <si>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</si>
  <si>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</si>
  <si>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</si>
  <si>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</si>
  <si>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</si>
  <si>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</si>
  <si>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</si>
  <si>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</si>
  <si>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</si>
  <si>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</si>
  <si>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</si>
  <si>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</si>
  <si>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</si>
  <si>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</si>
  <si>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</si>
  <si>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</si>
  <si>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</si>
  <si>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</si>
  <si>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</si>
  <si>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</si>
  <si>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</si>
  <si>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</si>
  <si>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</si>
  <si>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</si>
  <si>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</si>
  <si>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</si>
  <si>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</si>
  <si>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</si>
  <si>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</si>
  <si>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4.13 dejo el bus de eventos de dominio (App/Shared/Eventos + domain_events): el centro de notificaciones es otro oyente sobre el mismo bus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</si>
  <si>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</si>
  <si>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</si>
  <si>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</si>
  <si>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</si>
  <si>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</si>
  <si>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</si>
  <si>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</si>
  <si>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</si>
  <si>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</si>
  <si>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</si>
  <si>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</si>
  <si>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</si>
  <si>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</si>
  <si>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</si>
  <si>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</si>
  <si>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</si>
  <si>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</si>
  <si>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</si>
  <si>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</si>
  <si>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</si>
  <si>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</si>
  <si>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</si>
  <si>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</si>
  <si>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</si>
  <si>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</si>
  <si>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</si>
  <si>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</si>
  <si>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</si>
  <si>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</si>
  <si>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</si>
  <si>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</si>
  <si>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</si>
  <si>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</si>
  <si>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</si>
  <si>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docs/fase-5/5.9-ENLACE-DE-CONTRASENA.md. Crea la cuenta, escribe creators.user_id y manda el enlace de 72 h. La cuenta nace con una contrasena que no conoce nadie</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</si>
  <si>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</si>
  <si>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</si>
  <si>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</si>
  <si>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</si>
  <si>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</si>
  <si>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</si>
  <si>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</si>
  <si>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</si>
  <si>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</si>
  <si>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</si>
  <si>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</si>
  <si>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</si>
  <si>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</si>
  <si>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</si>
  <si>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</si>
  <si>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</si>
  <si>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</si>
  <si>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</si>
  <si>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</si>
  <si>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</si>
  <si>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</si>
  <si>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</si>
  <si>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</si>
  <si>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</si>
  <si>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</si>
  <si>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</si>
  <si>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</si>
  <si>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</si>
  <si>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</si>
  <si>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</si>
  <si>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</si>
  <si>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</si>
  <si>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</si>
  <si>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</si>
  <si>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</si>
  <si>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</si>
  <si>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</si>
  <si>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</si>
  <si>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</si>
  <si>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</si>
  <si>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</si>
  <si>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</si>
  <si>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</si>
  <si>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</si>
  <si>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</si>
  <si>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</si>
  <si>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</si>
  <si>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docs/fase-7/7.6-INVITACIONES.md. DEC-119 a DEC-123. Enlace de un solo uso, plazo por campana, rechazo con motivo y reinvitacion con constancia. Las PREGUNTAS quedan fuera: T-38</t>
  </si>
  <si>
    <t xml:space="preserve">7.7</t>
  </si>
  <si>
    <t xml:space="preserve">Panel de seguimiento de la campana (quien va en que estado)</t>
  </si>
  <si>
    <t xml:space="preserve">docs/fase-7/7.7-SEGUIMIENTO.md. DEC-127 y DEC-128. Embudo, cupo por mercado (cubierto = aceptado, no invitado), dinero con el margen detras de su permiso, y cuatro alertas</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</si>
  <si>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</si>
  <si>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</si>
  <si>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</si>
  <si>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</si>
  <si>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</si>
  <si>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</si>
  <si>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</si>
  <si>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</si>
  <si>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</si>
  <si>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</si>
  <si>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</si>
  <si>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</si>
  <si>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</si>
  <si>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</si>
  <si>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</si>
  <si>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</si>
  <si>
    <t xml:space="preserve">8.2</t>
  </si>
  <si>
    <t xml:space="preserve">Versionado append-only + puntero de version actual</t>
  </si>
  <si>
    <t xml:space="preserve">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</si>
  <si>
    <t xml:space="preserve">8.3</t>
  </si>
  <si>
    <t xml:space="preserve">Cola de revision interna + comentarios por version + solicitud de correccion</t>
  </si>
  <si>
    <t xml:space="preserve">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</si>
  <si>
    <t xml:space="preserve">8.4</t>
  </si>
  <si>
    <t xml:space="preserve">Aprobacion interna y limite de rondas</t>
  </si>
  <si>
    <t xml:space="preserve">docs/fase-8/8.4-TECHO-DE-RONDAS.md. El techo lo impone la BASE, no un if: solo la correccion del CLIENTE gasta ronda y una ronda de mas se declara.</t>
  </si>
  <si>
    <t xml:space="preserve">8.5</t>
  </si>
  <si>
    <t xml:space="preserve">Aprobacion del cliente por enlace firmado (sin portal completo)</t>
  </si>
  <si>
    <t xml:space="preserve">docs/fase-8/8.5-APROBACION-DEL-CLIENTE.md. Enlace de un solo uso, sin portal ni contrasena, y sin un solo importe. Queda su hora y su IP.</t>
  </si>
  <si>
    <t xml:space="preserve">8.6</t>
  </si>
  <si>
    <t xml:space="preserve">Programacion y registro de publicacion (URL)</t>
  </si>
  <si>
    <t xml:space="preserve">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</si>
  <si>
    <t xml:space="preserve">8.7</t>
  </si>
  <si>
    <t xml:space="preserve">Verificacion de publicacion + archivado de evidencia</t>
  </si>
  <si>
    <t xml:space="preserve">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</si>
  <si>
    <t xml:space="preserve">8.8</t>
  </si>
  <si>
    <t xml:space="preserve">Control de permanencia minima del post</t>
  </si>
  <si>
    <t xml:space="preserve">docs/fase-8/8.8-PERMANENCIA.md. Bandeja, historico que no se edita y comando diario a las 06:00. Si el post desaparece, el pago se para y el creador se entera.</t>
  </si>
  <si>
    <t xml:space="preserve">8.9</t>
  </si>
  <si>
    <t xml:space="preserve">Hilos de mensajes creador &lt;-&gt; equipo por campana</t>
  </si>
  <si>
    <t xml:space="preserve">Sin empezar. Hoy la conversacion con el creador es el correo de 7.6b.</t>
  </si>
  <si>
    <t xml:space="preserve">8.10</t>
  </si>
  <si>
    <t xml:space="preserve">Derechos de uso: alcance, territorio, canales, exclusividad, vigencia</t>
  </si>
  <si>
    <t xml:space="preserve">DESBLOQUEADA (2026-08-30). Los terminos ya existen y se editan desde el admin (9.16); los derechos de uso son la seccion 6 del texto base, marcada [REVISAR]. Lo que falta es MODELARLOS: licencia, territorio, plazo y exclusividad no son hoy datos de la campana, y el propio texto lo advierte.</t>
  </si>
  <si>
    <t xml:space="preserve">8.11</t>
  </si>
  <si>
    <t xml:space="preserve">docs/fase-8/8.11-QA-DE-FASE.md. Septima puerta. Encontro nueve suites que se habrian puesto verdes con el motor apagado (T-55) y dos cosas mas que la fase daba por hechas.</t>
  </si>
  <si>
    <t xml:space="preserve">8.12</t>
  </si>
  <si>
    <t xml:space="preserve">La sociedad que factura, explicada en la ficha de campana</t>
  </si>
  <si>
    <t xml:space="preserve">FUERA DEL ALCANCE ORIGINAL. docs/fase-8/8.12-LA-SOCIEDAD-QUE-FACTURA.md. Salio T-58: la pantalla llevaba desde 7.1 imprimiendo la sociedad de HOY bajo el rotulo de la guardada.</t>
  </si>
  <si>
    <t xml:space="preserve">8.13</t>
  </si>
  <si>
    <t xml:space="preserve">Correccion del registro de decisiones y adelanto de 9.11</t>
  </si>
  <si>
    <t xml:space="preserve">FUERA DEL ALCANCE ORIGINAL. Solo documentos. T-59: una decision mia (DEC-156) afirmaba algo falso sobre el esquema. DEC-157 adelanto la validacion de 9.11 a 9.6.</t>
  </si>
  <si>
    <t xml:space="preserve">9.1</t>
  </si>
  <si>
    <t xml:space="preserve">Monedas, tipo de cambio con historial y proveedor configurable</t>
  </si>
  <si>
    <t xml:space="preserve">CUBIERTA POR 9.1 Y 9.2 del roadmap actual. Fuente oficial por par con periodos, compra y venta, tasa inmutable, y cron a las 05:30 con Decolecta. Q-62/Q-63/Q-64 abiertas.</t>
  </si>
  <si>
    <t xml:space="preserve">9.2</t>
  </si>
  <si>
    <t xml:space="preserve">Ledger append-only del creador + estados de asiento</t>
  </si>
  <si>
    <t xml:space="preserve">ES LA 9.3 del roadmap actual (la numeracion de F9 se reordeno al ejecutar). Grafo de estados, un devengo por participacion, barrido diario y motivo obligatorio.</t>
  </si>
  <si>
    <t xml:space="preserve">9.3</t>
  </si>
  <si>
    <t xml:space="preserve">Devengo automatico por eventos de campana</t>
  </si>
  <si>
    <t xml:space="preserve">ES LA 9.4 del roadmap actual. Aceptar anota el asiento solo, por evento, y ledger:revisar rescata lo que se quedo sin asiento avisando de que hubo que rescatarlo.</t>
  </si>
  <si>
    <t xml:space="preserve">9.4</t>
  </si>
  <si>
    <t xml:space="preserve">Aprobacion de ganancias, ajustes, bonos, retenciones</t>
  </si>
  <si>
    <t xml:space="preserve">DESBLOQUEADA (2026-08-30). Q-40 respondida: 29,5% configurable. DEC-191 fija la forma: se pacta el NETO, el sistema calcula el bruto (neto/(1-tasa)) y lo compara con un umbral de rentabilidad. Tasa, umbral y base del umbral, desde el admin.</t>
  </si>
  <si>
    <t xml:space="preserve">9.5</t>
  </si>
  <si>
    <t xml:space="preserve">Requisitos documentales por pais/regimen</t>
  </si>
  <si>
    <t xml:space="preserve">DESBLOQUEADA (2026-08-30) por Q-40. Los requisitos documentales por pais dependen ahora de configuracion, no de una decision pendiente.</t>
  </si>
  <si>
    <t xml:space="preserve">9.6</t>
  </si>
  <si>
    <t xml:space="preserve">Lotes de pago: generacion, aprobacion (doble control sobre umbral), exportacion bancaria</t>
  </si>
  <si>
    <t xml:space="preserve">docs/fase-9/9.6-LOTES-DE-PAGO.md. Dos firmas SIEMPRE y la base garantiza que paga la sociedad de la campana. El CSV no es el archivo del banco, y lo dice.</t>
  </si>
  <si>
    <t xml:space="preserve">9.7</t>
  </si>
  <si>
    <t xml:space="preserve">Registro de pago, comprobante, notificacion al creador</t>
  </si>
  <si>
    <t xml:space="preserve">docs/fase-9/9.7-CONCILIACION.md. Grafo de estados del pago; confirmar exige referencia y fecha valor. Un pago devuelto no deshace el devengo: lo revierte.</t>
  </si>
  <si>
    <t xml:space="preserve">9.8</t>
  </si>
  <si>
    <t xml:space="preserve">Vista Mis ingresos en el portal del creador</t>
  </si>
  <si>
    <t xml:space="preserve">docs/fase-9/9.8-MIS-INGRESOS.md. Saldo por moneda, sin un solo boton, y sin el motivo interno de una retencion.</t>
  </si>
  <si>
    <t xml:space="preserve">9.9</t>
  </si>
  <si>
    <t xml:space="preserve">Facturacion al cliente emitida desde la entidad legal</t>
  </si>
  <si>
    <t xml:space="preserve">DESBLOQUEADA (2026-08-30). Q-44: exportacion de servicios, sin IGV, configurable. Q-03/DEC-192: facturacion DIRECTA con SUNAT --sin proveedor-- con certificado, correlativos y plantillas desde el admin, y monitor de documentos timbrados con reintentos y descarga de CDR/XML/PDF.</t>
  </si>
  <si>
    <t xml:space="preserve">9.10</t>
  </si>
  <si>
    <t xml:space="preserve">Rentabilidad por campana (P&amp;L interno) y por sociedad, con acceso estricto</t>
  </si>
  <si>
    <t xml:space="preserve">docs/fase-9/9.10-RENTABILIDAD.md. Ingreso menos creadores menos gasto, cada moneda por su lado. POR SOCIEDAD no: el ingreso de hoy es el declarado, no el facturado (9.9).</t>
  </si>
  <si>
    <t xml:space="preserve">9.10a</t>
  </si>
  <si>
    <t xml:space="preserve">El gasto de una campana: capturar producto, envios, produccion</t>
  </si>
  <si>
    <t xml:space="preserve">FUERA DEL ALCANCE ORIGINAL, y sin ella 9.10 era un margen falso. campaign_costs llevaba desde la Fase 2 con CERO filas. Salio T-63 (el UPDATE estaba abierto) y T-64.</t>
  </si>
  <si>
    <t xml:space="preserve">9.11</t>
  </si>
  <si>
    <t xml:space="preserve">Bloqueo de billing_legal_entity distinto de settlement_legal_entity en el MVP</t>
  </si>
  <si>
    <t xml:space="preserve">PAGADA EN 9.6. DEC-157 la adelanto: tg_pe_sociedad impone que la sociedad que paga sea la de la campana. Estaba en la posicion 11 de 14 y es una regla roja.</t>
  </si>
  <si>
    <t xml:space="preserve">9.12</t>
  </si>
  <si>
    <t xml:space="preserve">Series y numeracion correlativa por entidad legal, con bloqueo y pruebas de concurrencia</t>
  </si>
  <si>
    <t xml:space="preserve">DESBLOQUEADA (2026-08-30). Los correlativos de factura, boleta y notas de credito son configurables desde el admin (DEC-192), asi que ya no depende de un proveedor externo.</t>
  </si>
  <si>
    <t xml:space="preserve">9.13</t>
  </si>
  <si>
    <t xml:space="preserve">Matriz de propositos obligatorios por pais + bloqueo de activacion sin cobertura</t>
  </si>
  <si>
    <t xml:space="preserve">La matriz de propositos por pais pasa a ser CONFIGURACION (DEC-190), no una tabla quemada. Q-19 ya dio los valores de partida para Peru y Colombia.</t>
  </si>
  <si>
    <t xml:space="preserve">9.14</t>
  </si>
  <si>
    <t xml:space="preserve">QA de fase + auditoria de seguridad especifica de finanzas</t>
  </si>
  <si>
    <t xml:space="preserve">docs/fase-9/9.14-QA-DE-FASE.md y 9.14b-AUDITORIA-DE-SEGURIDAD.md. De 317 reglas del esquema, 167 no habian contestado nunca; las 20 del dinero ya lo hacen. El muro: 145 rutas x 3 roles de fuera.</t>
  </si>
  <si>
    <t xml:space="preserve">9.16</t>
  </si>
  <si>
    <t xml:space="preserve">Terminos editables desde el admin, con estado de revision legal</t>
  </si>
  <si>
    <t xml:space="preserve">FUERA DEL ALCANCE ORIGINAL, y corrige el criterio de 3.5. docs/fase-9/9.16-TERMINOS-EDITABLES.md. El sistema arranca con un texto base publicado que DICE que no esta revisado; borrador editable, publicada inmutable, y «cambio menor» que no obliga a reaceptar (DEC-190).</t>
  </si>
  <si>
    <t xml:space="preserve">9.17</t>
  </si>
  <si>
    <t xml:space="preserve">La marca es un dato: nombre, lema, pie legal, logotipo, favicon, tres colores y tipografia configurables desde el admin</t>
  </si>
  <si>
    <t xml:space="preserve">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</si>
  <si>
    <t xml:space="preserve">103b</t>
  </si>
  <si>
    <t xml:space="preserve">9.17b</t>
  </si>
  <si>
    <t xml:space="preserve">Que falta por configurar, en una sola pantalla: cinco areas con badges de prioridad</t>
  </si>
  <si>
    <t xml:space="preserve">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</si>
  <si>
    <t xml:space="preserve">103c</t>
  </si>
  <si>
    <t xml:space="preserve">9.17c</t>
  </si>
  <si>
    <t xml:space="preserve">El domicilio fiscal, con la forma (ubigeo, DANE) que exige cada pais</t>
  </si>
  <si>
    <t xml:space="preserve">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</si>
  <si>
    <t xml:space="preserve">103d</t>
  </si>
  <si>
    <t xml:space="preserve">9.17d</t>
  </si>
  <si>
    <t xml:space="preserve">Las credenciales de cada API en un solo sitio</t>
  </si>
  <si>
    <t xml:space="preserve">DEC-033 y docs/12. Hoy la de Decolecta vive en fx_sources y la de SUNAT hara falta en 9.9. Prerrequisito de la facturacion electronica.</t>
  </si>
  <si>
    <t xml:space="preserve">9.18</t>
  </si>
  <si>
    <t xml:space="preserve">Se pacta lo que el creador recibe: retencion sobre el neto y umbral de rentabilidad</t>
  </si>
  <si>
    <t xml:space="preserve">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</si>
  <si>
    <t xml:space="preserve">9.19</t>
  </si>
  <si>
    <t xml:space="preserve">Los terminos nuevos hay que volver a aceptarlos: plazo, solo lectura y muro</t>
  </si>
  <si>
    <t xml:space="preserve">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</si>
  <si>
    <t xml:space="preserve">105b</t>
  </si>
  <si>
    <t xml:space="preserve">9.19b</t>
  </si>
  <si>
    <t xml:space="preserve">El aviso por correo de la reaceptacion</t>
  </si>
  <si>
    <t xml:space="preserve">Q-46 empieza por «les llega un correo». Se aparto por §2: sin el correo 9.19 ya funciona --el creador se entera al entrar y los tres escalones se aplican-- y el equipo lo ve en el panel de configuracion. La bandeja interna es 8.9.</t>
  </si>
  <si>
    <t xml:space="preserve">9.14b</t>
  </si>
  <si>
    <t xml:space="preserve">Auditoria de seguridad: el muro de rutas</t>
  </si>
  <si>
    <t xml:space="preserve">FUERA DEL ALCANCE ORIGINAL como iteracion propia. 145 rutas x 3 roles de fuera, 371 aserciones. Cerro dos rutas del framework sobre el disco privado. Salio T-67.</t>
  </si>
  <si>
    <t xml:space="preserve">9.15</t>
  </si>
  <si>
    <t xml:space="preserve">Que los archivos se puedan ver: una puerta con permiso por archivo</t>
  </si>
  <si>
    <t xml:space="preserve">FUERA DEL ALCANCE ORIGINAL. docs/fase-9/9.15-VER-UN-ARCHIVO.md. Cierra T-67. Se guardaban desde la Fase 3 y no los servia nadie. Cada modulo declara quien puede ver SUS archivos (DEC-197) y el permiso se mira en cada peticion (DEC-198). Desbloquea 9.17: un logotipo guardado hay que poder servirlo.</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</si>
  <si>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</si>
  <si>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</si>
  <si>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</si>
  <si>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</si>
  <si>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</si>
  <si>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</si>
  <si>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</si>
  <si>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</si>
  <si>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</si>
  <si>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</si>
  <si>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</si>
  <si>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</si>
  <si>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</si>
  <si>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</si>
  <si>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</si>
  <si>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</si>
  <si>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</si>
  <si>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</si>
  <si>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</si>
  <si>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</si>
  <si>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</si>
  <si>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</si>
  <si>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</si>
  <si>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</si>
  <si>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</si>
  <si>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</si>
  <si>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</si>
  <si>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</si>
  <si>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</si>
  <si>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</si>
  <si>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</si>
  <si>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</si>
  <si>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</si>
  <si>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</si>
  <si>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</si>
  <si>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</si>
  <si>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</si>
  <si>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</si>
  <si>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</si>
  <si>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</si>
  <si>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</si>
  <si>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</si>
  <si>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</si>
  <si>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</si>
  <si>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</si>
  <si>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</si>
  <si>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</si>
  <si>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</si>
  <si>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</si>
  <si>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</si>
  <si>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</si>
  <si>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</si>
  <si>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</si>
  <si>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</si>
  <si>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</si>
  <si>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</si>
  <si>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</si>
  <si>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</si>
  <si>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</si>
  <si>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</si>
  <si>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</si>
  <si>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</si>
  <si>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</si>
  <si>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</si>
  <si>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</si>
  <si>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</si>
  <si>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</si>
  <si>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</si>
  <si>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</si>
  <si>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</si>
  <si>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</si>
  <si>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</si>
  <si>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</si>
  <si>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</si>
  <si>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</si>
  <si>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</si>
  <si>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</si>
  <si>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</si>
  <si>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</si>
  <si>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</si>
  <si>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</si>
  <si>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</si>
  <si>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</si>
  <si>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</si>
  <si>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</si>
  <si>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</si>
  <si>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</si>
  <si>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</si>
  <si>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Q-23/Q-24/Q-25 respondidas (DEC-194): se premia con RECONOCIMIENTO y con un catalogo de premios canjeables por XP, configurable desde el admin. Nada de dinero. El hito que consolida un referido es la primera campana completada.</t>
  </si>
  <si>
    <t xml:space="preserve">14.8</t>
  </si>
  <si>
    <t xml:space="preserve">Insignias y Academia del creador</t>
  </si>
  <si>
    <t xml:space="preserve">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</si>
  <si>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</si>
  <si>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</si>
  <si>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</si>
  <si>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</si>
  <si>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</si>
  <si>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</si>
  <si>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</si>
  <si>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</si>
  <si>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</si>
  <si>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</si>
  <si>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</si>
  <si>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</si>
  <si>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</si>
  <si>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</si>
  <si>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</si>
  <si>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</si>
  <si>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</si>
  <si>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</si>
  <si>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</si>
  <si>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</si>
  <si>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</si>
  <si>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</si>
  <si>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</si>
  <si>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</si>
  <si>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</si>
  <si>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</si>
  <si>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</si>
  <si>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</si>
  <si>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</si>
  <si>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</si>
  <si>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</si>
  <si>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</si>
  <si>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</si>
  <si>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</si>
  <si>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</si>
  <si>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</si>
  <si>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</si>
  <si>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</si>
  <si>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</si>
  <si>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</si>
  <si>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</si>
  <si>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</si>
  <si>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</si>
  <si>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Primera version en docs/18-RUNBOOK-DESPLIEGUE.md (2026-08-26): los dos crones, orden de despliegue y comprobaciones. Falta ejecutarlo de verdad y corregirlo con lo que salga (T-35)</t>
  </si>
  <si>
    <t xml:space="preserve">17.5</t>
  </si>
  <si>
    <t xml:space="preserve">Documentacion final</t>
  </si>
  <si>
    <t xml:space="preserve">17.6</t>
  </si>
  <si>
    <t xml:space="preserve">Plan de soporte y de despliegue continuo</t>
  </si>
  <si>
    <t xml:space="preserve">Tareas técnicas y de gestión (T-XX). Nacen cuando algo se descubre roto o a medias y no se puede arreglar en el momento. Fuente: docs/05-DECISION-LOG.md. Las abiertas van arriba.</t>
  </si>
  <si>
    <t xml:space="preserve">Prioridad</t>
  </si>
  <si>
    <t xml:space="preserve">Que hay que hacer</t>
  </si>
  <si>
    <t xml:space="preserve">Cuando hace falta</t>
  </si>
  <si>
    <t xml:space="preserve">Quien la desbloquea</t>
  </si>
  <si>
    <t xml:space="preserve">Detalle</t>
  </si>
  <si>
    <t xml:space="preserve">T-09</t>
  </si>
  <si>
    <t xml:space="preserve">Abierta</t>
  </si>
  <si>
    <t xml:space="preserve">Critica</t>
  </si>
  <si>
    <t xml:space="preserve">Que un abogado revise el texto base de los terminos.</t>
  </si>
  <si>
    <t xml:space="preserve">Antes de la primera discusion real con un creador</t>
  </si>
  <si>
    <t xml:space="preserve">Tu abogado</t>
  </si>
  <si>
    <t xml:space="preserve">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</si>
  <si>
    <t xml:space="preserve">T-69</t>
  </si>
  <si>
    <t xml:space="preserve">Repasar toda decision anterior que fije un valor en el codigo, bajo DEC-190.</t>
  </si>
  <si>
    <t xml:space="preserve">Trabajo de fondo</t>
  </si>
  <si>
    <t xml:space="preserve">Equipo de desarrollo</t>
  </si>
  <si>
    <t xml:space="preserve">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</si>
  <si>
    <t xml:space="preserve">T-29</t>
  </si>
  <si>
    <t xml:space="preserve">Cinco iteraciones de la Fase 3 sin documento.</t>
  </si>
  <si>
    <t xml:space="preserve">Antes de que se olvide el porque</t>
  </si>
  <si>
    <t xml:space="preserve">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</si>
  <si>
    <t xml:space="preserve">T-34</t>
  </si>
  <si>
    <t xml:space="preserve">BR-CREATOR-012 dice menos de lo que el esquema implica.</t>
  </si>
  <si>
    <t xml:space="preserve">Al revisar docs/06</t>
  </si>
  <si>
    <t xml:space="preserve">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</si>
  <si>
    <t xml:space="preserve">T-35</t>
  </si>
  <si>
    <t xml:space="preserve">El runbook de despliegue existe pero nadie lo ha ejecutado.</t>
  </si>
  <si>
    <t xml:space="preserve">Al primer despliegue</t>
  </si>
  <si>
    <t xml:space="preserve">Tu (primer despliegue)</t>
  </si>
  <si>
    <t xml:space="preserve">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</si>
  <si>
    <t xml:space="preserve">T-37</t>
  </si>
  <si>
    <t xml:space="preserve">VARBINARY faltaba en el reconocedor de tipos de generar-triggers.py y puede faltar algo mas.</t>
  </si>
  <si>
    <t xml:space="preserve">Antes de anadir un tipo de columna nuevo</t>
  </si>
  <si>
    <t xml:space="preserve">^BINARY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</si>
  <si>
    <t xml:space="preserve">T-64</t>
  </si>
  <si>
    <t xml:space="preserve">La matriz de permisos del seeder concede y no revoca nunca.</t>
  </si>
  <si>
    <t xml:space="preserve">Antes de la siguiente revocacion</t>
  </si>
  <si>
    <t xml:space="preserve">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</si>
  <si>
    <t xml:space="preserve">T-65</t>
  </si>
  <si>
    <t xml:space="preserve">147 reglas del esquema siguen sin que nadie les pregunte nada.</t>
  </si>
  <si>
    <t xml:space="preserve">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</si>
  <si>
    <t xml:space="preserve">T-66</t>
  </si>
  <si>
    <t xml:space="preserve">Los mensajes de las restricciones de la Fase 2 son genericos.</t>
  </si>
  <si>
    <t xml:space="preserve">Antes de que un usuario real vea un 45000</t>
  </si>
  <si>
    <t xml:space="preserve">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</si>
  <si>
    <t xml:space="preserve">T-68</t>
  </si>
  <si>
    <t xml:space="preserve">El registro de decisiones y 16-RESPUESTAS-NEGOCIO.md no dicen lo mismo sobre que preguntas siguen abiertas.</t>
  </si>
  <si>
    <t xml:space="preserve">Antes de volver a contar preguntas abiertas</t>
  </si>
  <si>
    <t xml:space="preserve">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</si>
  <si>
    <t xml:space="preserve">T-70</t>
  </si>
  <si>
    <t xml:space="preserve">16-RESPUESTAS-NEGOCIO.md se quedo viejo: veintiuna preguntas se respondieron el 2026-08-30 y no estan alli.</t>
  </si>
  <si>
    <t xml:space="preserve">Antes de volver a citarlo</t>
  </si>
  <si>
    <t xml:space="preserve">El registro de decisiones ya las tiene cerradas una por una; aquel documento sigue contando quince respuestas de agosto. O se actualiza, o se marca como historico de la primera tanda y se dice que el registro manda. Relacionada con T-68</t>
  </si>
  <si>
    <t xml:space="preserve">T-71</t>
  </si>
  <si>
    <t xml:space="preserve">El logotipo esta compuesto con una tipografia de sistema, no con una de diseno.</t>
  </si>
  <si>
    <t xml:space="preserve">Cuando haya un logotipo disenado</t>
  </si>
  <si>
    <t xml:space="preserve">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</si>
  <si>
    <t xml:space="preserve">T-10</t>
  </si>
  <si>
    <t xml:space="preserve">Resuelta</t>
  </si>
  <si>
    <t xml:space="preserve">RESUELTA (2026-08-26, iteracion 4.13). — El aviso al creador cuando cambian sus datos fiscales o su medio de pago.</t>
  </si>
  <si>
    <t xml:space="preserve">—</t>
  </si>
  <si>
    <t xml:space="preserve">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</si>
  <si>
    <t xml:space="preserve">T-11</t>
  </si>
  <si>
    <t xml:space="preserve">*(hecho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</si>
  <si>
    <t xml:space="preserve">Antes de la primera rotación de clave</t>
  </si>
  <si>
    <t xml:space="preserve">Hace falta un comando que las recalcule. No es un problema hoy y sí lo será el día de la primera rotación</t>
  </si>
  <si>
    <t xml:space="preserve">T-12</t>
  </si>
  <si>
    <t xml:space="preserve">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</si>
  <si>
    <t xml:space="preserve">Esta entrada se quedo en 📋 y asi siguio un mes. Al ir a abrirla se descubrio que ademas ese sitio restaba el dia a mano en vez de por Vigencia: era la octava copia. De ahi sale 4.7</t>
  </si>
  <si>
    <t xml:space="preserve">T-13</t>
  </si>
  <si>
    <t xml:space="preserve">RESUELTA (2026-08-25, iteracion 4.9). — tests/Apoyo/ConFixturas.php: 16 copias de usuarioCon en 15 archivos y 9 insert de creador en 6 pasan a un sitio.</t>
  </si>
  <si>
    <t xml:space="preserve">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</si>
  <si>
    <t xml:space="preserve">T-14</t>
  </si>
  <si>
    <t xml:space="preserve">RESUELTA (2026-08-25, iteracion 4.8). — Los cuatro disparadores de 3.9 pasan a Periodo::sinSolape(): 48 lineas de SQL tecleado a mano por 2 declaraciones.</t>
  </si>
  <si>
    <t xml:space="preserve">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</si>
  <si>
    <t xml:space="preserve">T-15</t>
  </si>
  <si>
    <t xml:space="preserve">*(hecho en 3.11)* No existe anular un perfil fiscal aprobado. superseded significa *reemplazado* —o sea que estuvo vigente— y rejected significa que se rechazó en revisión, antes de aprobarse.</t>
  </si>
  <si>
    <t xml:space="preserve">Cuando haya que corregir un perfil aprobado por error</t>
  </si>
  <si>
    <t xml:space="preserve">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</si>
  <si>
    <t xml:space="preserve">T-16</t>
  </si>
  <si>
    <t xml:space="preserve">*(hecho en 3.12)* creator_tax_profiles se puede borrar con un DELETE. Lo llevan payouts, invoices, ledger_entries, creator_payment_methods y cinco tablas más, pero ésta no.</t>
  </si>
  <si>
    <t xml:space="preserve">Antes de la primera declaración que se apoye en este histórico</t>
  </si>
  <si>
    <t xml:space="preserve">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</si>
  <si>
    <t xml:space="preserve">T-17</t>
  </si>
  <si>
    <t xml:space="preserve">RESUELTA (2026-08-25, iteracion 4.6). — Las dos carreras cerradas por caminos opuestos, porque son problemas opuestos.</t>
  </si>
  <si>
    <t xml:space="preserve">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</si>
  <si>
    <t xml:space="preserve">T-18</t>
  </si>
  <si>
    <t xml:space="preserve">RESUELTA (2026-08-25). — DEC-085: dos usuarios de base de datos, .env.example con las concesiones exactas, y php artisan seguridad:privilegios que lo comprueba en vez de prometerlo.</t>
  </si>
  <si>
    <t xml:space="preserve">Al desplegar</t>
  </si>
  <si>
    <t xml:space="preserve">La suite 3.12 fija las dos mitades con usuarios reales, incluida la incomoda: con DROP la bitacora si se vacia. Falta ejecutar los GRANT en el servidor de produccion</t>
  </si>
  <si>
    <t xml:space="preserve">T-19</t>
  </si>
  <si>
    <t xml:space="preserve">RESUELTA (2026-08-25). — Se calcula al leer (DEC-083).</t>
  </si>
  <si>
    <t xml:space="preserve">Un disparador no puede actualizar su propia tabla (1442, comprobado), asi que el estado dejo de guardarse: CuentasCompartidas resuelve la pregunta y las dos filas dicen lo mismo por construccion</t>
  </si>
  <si>
    <t xml:space="preserve">T-20</t>
  </si>
  <si>
    <t xml:space="preserve">CERRADA DEL TODO (2026-08-25, iteracion 4.10). — La primera mitad la resolvio DEC-083.</t>
  </si>
  <si>
    <t xml:space="preserve">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</si>
  <si>
    <t xml:space="preserve">T-21</t>
  </si>
  <si>
    <t xml:space="preserve">RESUELTA (2026-08-25). — «Vigente» exige valid_from &lt;= CURDATE() (DEC-084), y el mensaje de aprobacion distingue «aprobado y vigente» de «aprobado, todavia NO rige»</t>
  </si>
  <si>
    <t xml:space="preserve">T-22</t>
  </si>
  <si>
    <t xml:space="preserve">RESUELTA (2026-08-25). — La guarda de solicitudes deja de filtrar por estado —las unicas se apoyan en identity_gate, que no lo mira— y el mensaje distingue un duplicado administrativo de una persona en lista negra.</t>
  </si>
  <si>
    <t xml:space="preserve">La de redes sociales comprueba ademas las cuentas propias, que era el caso frecuente</t>
  </si>
  <si>
    <t xml:space="preserve">T-23</t>
  </si>
  <si>
    <t xml:space="preserve">RESUELTA (2026-08-25). — DEC-086: middleware en el grupo web, pantalla de cambio, y tres reglas que hacen que sirva —la nueva distinta de la actual, se pide la actual, y sin permiso—.</t>
  </si>
  <si>
    <t xml:space="preserve">La marca que se escribia desde 3.1 por fin significa algo</t>
  </si>
  <si>
    <t xml:space="preserve">T-24</t>
  </si>
  <si>
    <t xml:space="preserve">RESUELTA (2026-08-25). — max(1, ...) en el config.</t>
  </si>
  <si>
    <t xml:space="preserve">Un comentario que dice «esto no puede pasar» y no lo impide es una nota, no una regla</t>
  </si>
  <si>
    <t xml:space="preserve">T-25</t>
  </si>
  <si>
    <t xml:space="preserve">RESUELTA (2026-08-25). La suite de PHPUnit se ejecuto por primera vez. — 228 pruebas, 695 aserciones.</t>
  </si>
  <si>
    <t xml:space="preserve">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</si>
  <si>
    <t xml:space="preserve">T-26</t>
  </si>
  <si>
    <t xml:space="preserve">RESUELTA (2026-08-25). Verificado el verificador. — Que 228 pruebas nunca ejecutadas salgan verdes a la primera es sospechoso, asi que se comprobo con tres mutaciones.</t>
  </si>
  <si>
    <t xml:space="preserve">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</si>
  <si>
    <t xml:space="preserve">T-27</t>
  </si>
  <si>
    <t xml:space="preserve">RESUELTA (2026-08-25, iteracion 4.11). — tools/pruebas/4.11-concurrencia.sh: dos clientes de verdad contra el mismo motor, sin un solo sleep de sincronizacion.</t>
  </si>
  <si>
    <t xml:space="preserve">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</si>
  <si>
    <t xml:space="preserve">T-28</t>
  </si>
  <si>
    <t xml:space="preserve">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</si>
  <si>
    <t xml:space="preserve">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</si>
  <si>
    <t xml:space="preserve">T-30</t>
  </si>
  <si>
    <t xml:space="preserve">RESUELTA (2026-08-25). — 09-NEXT-ITERATION.md llevaba desde el 21 de agosto diciendo «me detengo aqui; no hay codigo, no hay esquema y no hay wireframes».</t>
  </si>
  <si>
    <t xml:space="preserve">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</si>
  <si>
    <t xml:space="preserve">T-31</t>
  </si>
  <si>
    <t xml:space="preserve">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</si>
  <si>
    <t xml:space="preserve">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</si>
  <si>
    <t xml:space="preserve">T-32</t>
  </si>
  <si>
    <t xml:space="preserve">RESUELTA (2026-08-25). — Los tres errores que PHPStan encontro en la maquina del usuario.</t>
  </si>
  <si>
    <t xml:space="preserve">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</si>
  <si>
    <t xml:space="preserve">T-33</t>
  </si>
  <si>
    <t xml:space="preserve">RESUELTA (2026-08-25, iteracion 7.3). — ck_creq_deadline y ck_creq_permanence.</t>
  </si>
  <si>
    <t xml:space="preserve">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</si>
  <si>
    <t xml:space="preserve">T-36</t>
  </si>
  <si>
    <t xml:space="preserve">RESUELTA (2026-08-26, iteracion 7.6b). — Ver DEC-126.</t>
  </si>
  <si>
    <t xml:space="preserve">La pieza ya estaba: Cuentas::paraCreador() y Cuentas::paraInterno() se diferencian en tres argumentos, y eso es lo que se cobro la decision de 5.9 de poner esa clase en Identity en vez de en Creator</t>
  </si>
  <si>
    <t xml:space="preserve">T-38</t>
  </si>
  <si>
    <t xml:space="preserve">RESUELTA (2026-08-26, iteracion 7.6b). — Ver DEC-124.</t>
  </si>
  <si>
    <t xml:space="preserve">Ver docs/fase-7/7.6b-CABOS-SUELTOS.md</t>
  </si>
  <si>
    <t xml:space="preserve">T-39</t>
  </si>
  <si>
    <t xml:space="preserve">RESUELTA (2026-08-26, iteracion 7.6). Un fallo INTERMITENTE en ConFixturas que llevaba desde 4.9 escondido. — creadorActivo() pasaba eligible_from =&gt; now()-&gt;subDay() y medioDePago() ponia verified_at =&gt; now()-&gt;subDay(): dos llamadas distintas, separadas por la creacion de un usuario.</t>
  </si>
  <si>
    <t xml:space="preserve">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</si>
  <si>
    <t xml:space="preserve">T-40</t>
  </si>
  <si>
    <t xml:space="preserve">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</si>
  <si>
    <t xml:space="preserve">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</si>
  <si>
    <t xml:space="preserve">T-41</t>
  </si>
  <si>
    <t xml:space="preserve">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</si>
  <si>
    <t xml:space="preserve">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</si>
  <si>
    <t xml:space="preserve">T-42</t>
  </si>
  <si>
    <t xml:space="preserve">RESUELTA (2026-08-26). verificar-fixturas.py no sabia distinguir un fixture invalido A PROPOSITO. — Una prueba que afirma «la base rechaza esto» necesita escribir una fila mala, y la herramienta la marcaba en rojo con toda la razon tecnica y ninguna practica.</t>
  </si>
  <si>
    <t xml:space="preserve">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</si>
  <si>
    <t xml:space="preserve">T-43</t>
  </si>
  <si>
    <t xml:space="preserve">RESUELTA (2026-08-26). Cuatro mensajes que en PRODUCCION no caben, rotos desde 7.4 y verdes en las tres bases. — MESSAGE_TEXT es VARCHAR(128) y MySQL 8 y Percona 5.7 no truncan: sueltan 1648 Data too long for condition item en lugar del 45000 que el disparador queria dar.</t>
  </si>
  <si>
    <t xml:space="preserve">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</si>
  <si>
    <t xml:space="preserve">T-44</t>
  </si>
  <si>
    <t xml:space="preserve">RESUELTA (2026-08-26). Una suite que se creia limpia y corria sobre filas de otra. — 8.1-entregables.sh abria con DELETE FROM deliverables y exigia la tabla vacia.</t>
  </si>
  <si>
    <t xml:space="preserve">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</si>
  <si>
    <t xml:space="preserve">T-45</t>
  </si>
  <si>
    <t xml:space="preserve">RESUELTA (2026-08-26). «Un veredicto no se edita» lo decia el documento de 2.12 desde el primer dia y no lo impedia nada. — content_reviews se describia como append-only y aceptaba UPDATE sin mas.</t>
  </si>
  <si>
    <t xml:space="preserve">Un veredicto justifica una ronda cobrada: si se puede reescribir, reconstruir por que se facturo algo depende de que nadie lo tocara. tg_cvw_inmutable bloquea el UPDATE ENTERO y no columna por columna, porque no hay ninguna columna de esa tabla que tenga sentido cambiar despues</t>
  </si>
  <si>
    <t xml:space="preserve">T-46</t>
  </si>
  <si>
    <t xml:space="preserve">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</si>
  <si>
    <t xml:space="preserve">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</si>
  <si>
    <t xml:space="preserve">T-47</t>
  </si>
  <si>
    <t xml:space="preserve">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</si>
  <si>
    <t xml:space="preserve">tg_dv_entregable_abierto. Es la TERCERA vez en esta fase que aparece la misma forma: la regla escrita en el servicio y la base sin enterarse</t>
  </si>
  <si>
    <t xml:space="preserve">T-48</t>
  </si>
  <si>
    <t xml:space="preserve">RESUELTA (2026-08-26). Una asercion que dependia del ORDEN en que un motor evalua los CHECK. — La suite de 8.3 afirmaba «aprobar sin decir quien se rechaza por ck_del_aprobador».</t>
  </si>
  <si>
    <t xml:space="preserve">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</si>
  <si>
    <t xml:space="preserve">T-49</t>
  </si>
  <si>
    <t xml:space="preserve">RESUELTA (2026-08-26). La suite de 2.12 empezo a pasar en un motor y no en el otro. — Al exigir 8.6 que un entregable este APROBADO antes de publicarlo, esa suite paso a hacer UPDATE deliverables ...</t>
  </si>
  <si>
    <t xml:space="preserve">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</si>
  <si>
    <t xml:space="preserve">T-50</t>
  </si>
  <si>
    <t xml:space="preserve">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</si>
  <si>
    <t xml:space="preserve">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</si>
  <si>
    <t xml:space="preserve">T-51</t>
  </si>
  <si>
    <t xml:space="preserve">RESUELTA (2026-08-27). Dos aserciones mas que dependian del orden de evaluacion del motor. — is_live = 7 sin notas viola ck_pc_is_live y ck_pc_caida_motivada a la vez; status = 'expired' con la permanencia puesta viola ck_pub_status y ck_pub_permanence.</t>
  </si>
  <si>
    <t xml:space="preserve">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</si>
  <si>
    <t xml:space="preserve">T-52</t>
  </si>
  <si>
    <t xml:space="preserve">RESUELTA (2026-08-27). El CI llevaba VEINTICUATRO ejecuciones en rojo por un archivo que yo no podia ver. — Ultimo verde: la ejecucion 24, en 4.1 Clientes; desde 4.2 Marcas todas rojas, y el paso 7 del protocolo --«comprobar que el CI corrio y en verde»-- no se cumplia.</t>
  </si>
  <si>
    <t xml:space="preserve">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</si>
  <si>
    <t xml:space="preserve">T-53</t>
  </si>
  <si>
    <t xml:space="preserve">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</si>
  <si>
    <t xml:space="preserve">Tu contador</t>
  </si>
  <si>
    <t xml:space="preserve">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</si>
  <si>
    <t xml:space="preserve">T-54</t>
  </si>
  <si>
    <t xml:space="preserve">RESUELTA (2026-08-27). Dos suites estaban verdes por una premisa que nunca escribieron. — Al poner tg_cvw_techo se cayeron dos aserciones antiguas, y las dos tenian razon en caerse.</t>
  </si>
  <si>
    <t xml:space="preserve">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</si>
  <si>
    <t xml:space="preserve">T-55</t>
  </si>
  <si>
    <t xml:space="preserve">RESUELTA (2026-08-27). Nueve suites se habrian puesto verdes con el motor apagado. — Los cuatro ayudantes estaban COPIADOS en las treinta suites y el QA de fase los midio: seis variantes de lo mismo, y nueve sin la guarda de conexion.</t>
  </si>
  <si>
    <t xml:space="preserve">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</si>
  <si>
    <t xml:space="preserve">T-56</t>
  </si>
  <si>
    <t xml:space="preserve">RESUELTA (2026-08-27). cargosPendientes() no sabia cuales estaban pendientes. — Devolvia TODAS las rondas de mas de la campana, para siempre, porque no filtra por «facturada» --no existe esa columna--.</t>
  </si>
  <si>
    <t xml:space="preserve">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</si>
  <si>
    <t xml:space="preserve">T-57</t>
  </si>
  <si>
    <t xml:space="preserve">RESUELTA (2026-08-27). El contador de columnas puerta iba por 17 y son 24. — Los documentos y los comentarios del esquema las venian numerando a mano --«la decimoquinta», «la decimosexta»-- y el numero se heredaba de un documento al siguiente sin que nadie contara.</t>
  </si>
  <si>
    <t xml:space="preserve">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</si>
  <si>
    <t xml:space="preserve">T-58</t>
  </si>
  <si>
    <t xml:space="preserve">RESUELTA (2026-08-27). La ficha de campana ensenaba la sociedad que tocaria HOY bajo el rotulo de la guardada. — El bloque imprimia $cobertura-&gt;entidad-&gt;legal_name --lo que devuelve el resolver-- con la unica condicion de que la campana tuviera alguna sociedad guardada.</t>
  </si>
  <si>
    <t xml:space="preserve">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</si>
  <si>
    <t xml:space="preserve">T-59</t>
  </si>
  <si>
    <t xml:space="preserve">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</si>
  <si>
    <t xml:space="preserve">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</si>
  <si>
    <t xml:space="preserve">T-60</t>
  </si>
  <si>
    <t xml:space="preserve">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</si>
  <si>
    <t xml:space="preserve">(b)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</si>
  <si>
    <t xml:space="preserve">T-61</t>
  </si>
  <si>
    <t xml:space="preserve">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</si>
  <si>
    <t xml:space="preserve">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</si>
  <si>
    <t xml:space="preserve">T-62</t>
  </si>
  <si>
    <t xml:space="preserve">RESUELTA (2026-08-27). El motivo de la transicion anterior explicaba la siguiente. — La primera version de tg_ledger_estado solo exigia que status_reason y status_changed_at no fueran nulos --y los dos SIGUEN en la fila despues del movimiento anterior--, asi que un UPDATE ...</t>
  </si>
  <si>
    <t xml:space="preserve">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</si>
  <si>
    <t xml:space="preserve">T-63</t>
  </si>
  <si>
    <t xml:space="preserve">RESUELTA (2026-08-30). En campaign_costs el DELETE estaba cerrado y el UPDATE no. — El comentario de la tabla dice desde la Fase 2 que un costo mal tecleado «se anula, no se borra», porque el margen de ayer tiene que poder reconstruirse, y tg_cco_no_delete impedia el borrado.</t>
  </si>
  <si>
    <t xml:space="preserve">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</si>
  <si>
    <t xml:space="preserve">T-67</t>
  </si>
  <si>
    <t xml:space="preserve">RESUELTA (2026-08-31, iteracion 9.15). — Los archivos se guardaban desde la Fase 3 y no los servia nadie: la pantalla de conciliacion aceptaba el comprobante y la de gastos decia «con comprobante», sin enlace.</t>
  </si>
  <si>
    <t xml:space="preserve">Ahora hay una sola puerta --/archivos/{uuid}-- con dos escalones: file.view deja pedir un archivo y el Vigilante decide cual, con la regla que registro el modulo dueño (DEC-197). Al probarlo salio que las fixturas creaban la fila y no el archivo, porque hasta hoy con la fila bastaba</t>
  </si>
  <si>
    <t xml:space="preserve">T-72</t>
  </si>
  <si>
    <t xml:space="preserve">RESUELTA (2026-08-31, iteracion 9.17) el mismo dia que se abrio. Las clases de color de la marca no existian.</t>
  </si>
  <si>
    <t xml:space="preserve">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</si>
  <si>
    <t xml:space="preserve">T-73</t>
  </si>
  <si>
    <t xml:space="preserve">RESUELTA (2026-08-31, iteracion 9.19). Reportada en PRODUCCION: una cobertura cerrada seguia tapando su ultimo dia.</t>
  </si>
  <si>
    <t xml:space="preserve">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</si>
  <si>
    <t xml:space="preserve">Preguntas de negocio (Q-XX). Una pregunta abierta es trabajo que NO se puede hacer hasta que alguien decida. Las respondidas conservan la pregunta original detrás de la respuesta. Fuente: docs/05-DECISION-LOG.md.</t>
  </si>
  <si>
    <t xml:space="preserve">Que hay que decidir</t>
  </si>
  <si>
    <t xml:space="preserve">Q-47</t>
  </si>
  <si>
    <t xml:space="preserve">Abierto por la iteración 3.6.</t>
  </si>
  <si>
    <t xml:space="preserve">Iteración de rechazo de creadores</t>
  </si>
  <si>
    <t xml:space="preserve">Tu (decision de negocio)</t>
  </si>
  <si>
    <t xml:space="preserve">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</si>
  <si>
    <t xml:space="preserve">Q-50</t>
  </si>
  <si>
    <t xml:space="preserve">¿campaign_creators, agreement_amendments, domain_events y status_transitions son evidencia?</t>
  </si>
  <si>
    <t xml:space="preserve">Al construir el módulo de campañas</t>
  </si>
  <si>
    <t xml:space="preserve">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</si>
  <si>
    <t xml:space="preserve">Q-52</t>
  </si>
  <si>
    <t xml:space="preserve">¿Un cliente debería exigir contacto principal de facturación antes de poder estar active?</t>
  </si>
  <si>
    <t xml:space="preserve">Facturación (F9)</t>
  </si>
  <si>
    <t xml:space="preserve">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</si>
  <si>
    <t xml:space="preserve">Q-53</t>
  </si>
  <si>
    <t xml:space="preserve">¿El mismo correo repetido dentro del mismo cliente y tipo es un error?</t>
  </si>
  <si>
    <t xml:space="preserve">Importación de clientes</t>
  </si>
  <si>
    <t xml:space="preserve">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</si>
  <si>
    <t xml:space="preserve">Q-54</t>
  </si>
  <si>
    <t xml:space="preserve">¿Se puede corregir un periodo fiscal ya CERRADO?</t>
  </si>
  <si>
    <t xml:space="preserve">Primera correccion real de un histórico</t>
  </si>
  <si>
    <t xml:space="preserve">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</si>
  <si>
    <t xml:space="preserve">Q-55</t>
  </si>
  <si>
    <t xml:space="preserve">¿Se valida el formato del documento fiscal por país?</t>
  </si>
  <si>
    <t xml:space="preserve">Alta de clientes en el segundo país</t>
  </si>
  <si>
    <t xml:space="preserve">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</si>
  <si>
    <t xml:space="preserve">Q-56</t>
  </si>
  <si>
    <t xml:space="preserve">.deliverable_versions es evidencia?</t>
  </si>
  <si>
    <t xml:space="preserve">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</si>
  <si>
    <t xml:space="preserve">Q-57</t>
  </si>
  <si>
    <t xml:space="preserve">.Donde acaba la linea del cargo por una ronda de correccion de mas?</t>
  </si>
  <si>
    <t xml:space="preserve">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</si>
  <si>
    <t xml:space="preserve">Q-58</t>
  </si>
  <si>
    <t xml:space="preserve">.Se puede reabrir un entregable ya PUBLICADO o VERIFICADO?</t>
  </si>
  <si>
    <t xml:space="preserve">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</si>
  <si>
    <t xml:space="preserve">Q-59</t>
  </si>
  <si>
    <t xml:space="preserve">¿La ventana de permanencia se alarga por los dias que el post estuvo caido?</t>
  </si>
  <si>
    <t xml:space="preserve">Con el contrato del creador</t>
  </si>
  <si>
    <t xml:space="preserve">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</si>
  <si>
    <t xml:space="preserve">Q-60</t>
  </si>
  <si>
    <t xml:space="preserve">¿deliverables.revision_rounds_used deberia existir?</t>
  </si>
  <si>
    <t xml:space="preserve">Facturacion (F9)</t>
  </si>
  <si>
    <t xml:space="preserve">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</si>
  <si>
    <t xml:space="preserve">Q-61</t>
  </si>
  <si>
    <t xml:space="preserve">¿Como se marca una ronda de mas como facturada?</t>
  </si>
  <si>
    <t xml:space="preserve">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</si>
  <si>
    <t xml:space="preserve">Q-62</t>
  </si>
  <si>
    <t xml:space="preserve">.Que pasa si una fuente CORRIGE una tasa ya publicada?</t>
  </si>
  <si>
    <t xml:space="preserve">Primera errata real de la fuente</t>
  </si>
  <si>
    <t xml:space="preserve">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</si>
  <si>
    <t xml:space="preserve">Q-64</t>
  </si>
  <si>
    <t xml:space="preserve">.De donde salen los pares que Decolecta no trae?</t>
  </si>
  <si>
    <t xml:space="preserve">Primera campana en COP o MXN</t>
  </si>
  <si>
    <t xml:space="preserve">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</si>
  <si>
    <t xml:space="preserve">Q-01</t>
  </si>
  <si>
    <t xml:space="preserve">RESPONDIDA (2026-08-30).</t>
  </si>
  <si>
    <t xml:space="preserve">Respondida</t>
  </si>
  <si>
    <t xml:space="preserve">Se les AYUDA a sacar el RUC, y es uno de los beneficios que se anuncian en la landing y en los terminos. No hay pago informal: el camino es formalizar al creador, no esquivar la formalidad. *Pregunta original:* ¿Cómo se pagará legalmente a creadores sin RUC? (DEC-005)</t>
  </si>
  <si>
    <t xml:space="preserve">Q-02</t>
  </si>
  <si>
    <t xml:space="preserve">Se factura la CAMPANA COMPLETA al cliente, no el servicio de cada creador por separado. *Pregunta original:* ¿El operador factura la campaña completa o solo su servicio? (DEC-004)</t>
  </si>
  <si>
    <t xml:space="preserve">Q-03</t>
  </si>
  <si>
    <t xml:space="preserve">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</si>
  <si>
    <t xml:space="preserve">Q-04</t>
  </si>
  <si>
    <t xml:space="preserve">Por ahora NO hay clientes que quieran pagar con tarjeta. *Pregunta original:* ¿Existen clientes que quieran pagar con tarjeta? (DEC-007)</t>
  </si>
  <si>
    <t xml:space="preserve">Q-05</t>
  </si>
  <si>
    <t xml:space="preserve">30 días por defecto, configurable por creador.</t>
  </si>
  <si>
    <t xml:space="preserve">Visible al aceptar la campaña</t>
  </si>
  <si>
    <t xml:space="preserve">Q-06</t>
  </si>
  <si>
    <t xml:space="preserve">Contrato por campaña</t>
  </si>
  <si>
    <t xml:space="preserve">, sin acuerdos marco</t>
  </si>
  <si>
    <t xml:space="preserve">Q-07</t>
  </si>
  <si>
    <t xml:space="preserve">Sí, con autorización firmada del tutor</t>
  </si>
  <si>
    <t xml:space="preserve">; se paga a nombre del tutor. Requiere documento del tutor y acreditación de parentesco. Abre modelado nuevo: ver docs/16 §3.1</t>
  </si>
  <si>
    <t xml:space="preserve">Q-08</t>
  </si>
  <si>
    <t xml:space="preserve">2 rondas</t>
  </si>
  <si>
    <t xml:space="preserve">incluidas en el precio</t>
  </si>
  <si>
    <t xml:space="preserve">Q-09</t>
  </si>
  <si>
    <t xml:space="preserve">Se define por campaña y por red.</t>
  </si>
  <si>
    <t xml:space="preserve">El creador adjunta el enlace y el sistema lo valida — con los límites de docs/16 §3.2</t>
  </si>
  <si>
    <t xml:space="preserve">Q-10</t>
  </si>
  <si>
    <t xml:space="preserve">Cada creador asume el costo de produccion de sus entregables. *Pregunta original:* ¿Quién asume el costo del producto enviado y de la logística?</t>
  </si>
  <si>
    <t xml:space="preserve">Q-11</t>
  </si>
  <si>
    <t xml:space="preserve">No hay base previa.</t>
  </si>
  <si>
    <t xml:space="preserve">Plantilla entregada: tools/plantilla-importacion-creadores.csv</t>
  </si>
  <si>
    <t xml:space="preserve">Q-12</t>
  </si>
  <si>
    <t xml:space="preserve">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</si>
  <si>
    <t xml:space="preserve">Q-13</t>
  </si>
  <si>
    <t xml:space="preserve">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</si>
  <si>
    <t xml:space="preserve">Q-14</t>
  </si>
  <si>
    <t xml:space="preserve">Sí</t>
  </si>
  <si>
    <t xml:space="preserve">, exportación de servicios</t>
  </si>
  <si>
    <t xml:space="preserve">Q-15</t>
  </si>
  <si>
    <t xml:space="preserve">CTS Perú → PE, EC, CL, MX, US</t>
  </si>
  <si>
    <t xml:space="preserve">· CTS Colombia → CO (ya constituida)</t>
  </si>
  <si>
    <t xml:space="preserve">Q-16</t>
  </si>
  <si>
    <t xml:space="preserve">SUNAT directo</t>
  </si>
  <si>
    <t xml:space="preserve">en Perú y DIAN directo en Colombia. Sobre Colombia tengo una objeción: docs/16 §2.3</t>
  </si>
  <si>
    <t xml:space="preserve">Q-17</t>
  </si>
  <si>
    <t xml:space="preserve">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</si>
  <si>
    <t xml:space="preserve">Q-18</t>
  </si>
  <si>
    <t xml:space="preserve">Es el nombre comercial. *Pregunta original:* ¿"LATAM Social" es marca registrada, y a nombre de qué sociedad? Afecta contratos y licencias de contenido.</t>
  </si>
  <si>
    <t xml:space="preserve">Q-19</t>
  </si>
  <si>
    <t xml:space="preserve">Perú: invoicing y exchange_rate.</t>
  </si>
  <si>
    <t xml:space="preserve">Colombia: opcionales</t>
  </si>
  <si>
    <t xml:space="preserve">Q-20</t>
  </si>
  <si>
    <t xml:space="preserve">SMTP Google Workspace · almacenamiento sin contratar · tipo de cambio Decolecta.</t>
  </si>
  <si>
    <t xml:space="preserve">Dos reservas en docs/16 §3.3 y §3.4</t>
  </si>
  <si>
    <t xml:space="preserve">Q-21</t>
  </si>
  <si>
    <t xml:space="preserve">Resuelta por Q-03: no hay proveedor intermedio, se timbra directo con SUNAT y todo es configurable. *Pregunta original:* ¿El proveedor de facturación electrónica permite una cuenta por sociedad, o exige contrato separado por RUC?</t>
  </si>
  <si>
    <t xml:space="preserve">Q-22</t>
  </si>
  <si>
    <t xml:space="preserve">100% interna</t>
  </si>
  <si>
    <t xml:space="preserve">Q-23</t>
  </si>
  <si>
    <t xml:space="preserve">La gamificacion premia con reconocimiento. *Pregunta original:* ¿Qué desbloquea realmente el nivel? Define si la gamificación es reconocimiento o política comercial.</t>
  </si>
  <si>
    <t xml:space="preserve">Q-24</t>
  </si>
  <si>
    <t xml:space="preserve">Por ahora no hay premios en dinero. Habra un catalogo de premios canjeables con XP --viajes, cosas-- configurable desde el admin. Ver DEC-194. *Pregunta original:* ¿El XP podrá convertirse en dinero o bienes? Si no, el problema fiscal y legal se reduce drásticamente.</t>
  </si>
  <si>
    <t xml:space="preserve">Q-25</t>
  </si>
  <si>
    <t xml:space="preserve">El hito de consolidacion del referido es la primera campana completada. *Pregunta original:* ¿Cuál es el hito de consolidación del referido: aprobación, o primera campaña completada?</t>
  </si>
  <si>
    <t xml:space="preserve">Q-26</t>
  </si>
  <si>
    <t xml:space="preserve">Absorbida por Q-24: los retos internos premian con XP canjeable en el catalogo, no con dinero. *Pregunta original:* ¿Los retos internos pagarán en dinero, producto o acceso prioritario?</t>
  </si>
  <si>
    <t xml:space="preserve">Q-27</t>
  </si>
  <si>
    <t xml:space="preserve">RESPONDIDA (2026-08-30). La Academia del creador QUEDA</t>
  </si>
  <si>
    <t xml:space="preserve">, y cada modulo es configurable desde el admin. Ver DEC-196. *Pregunta original:* ¿Hay presupuesto para la Academia del creador? Es contenido, no software.</t>
  </si>
  <si>
    <t xml:space="preserve">Q-29</t>
  </si>
  <si>
    <t xml:space="preserve">Tu (marca)</t>
  </si>
  <si>
    <t xml:space="preserve">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</si>
  <si>
    <t xml:space="preserve">Q-30</t>
  </si>
  <si>
    <t xml:space="preserve">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</si>
  <si>
    <t xml:space="preserve">Q-31</t>
  </si>
  <si>
    <t xml:space="preserve">Configurable desde el admin: la marca de la plataforma es un dato, no un archivo del repositorio. *Pregunta original:* ¿Se sustituye el kit original por las versiones corregidas, o conviven? Recomiendo sustituir: dos favicon distintos garantizan que alguien use el roto.</t>
  </si>
  <si>
    <t xml:space="preserve">Q-33</t>
  </si>
  <si>
    <t xml:space="preserve">RESUELTA (negocio, 2026-08-22): — todo creador debe tener datos fiscales legales y vigentes.</t>
  </si>
  <si>
    <t xml:space="preserve">No hay pago informal. Sin ellos no se activa; si no se regulariza, se rechaza. → BR-CREATOR-013</t>
  </si>
  <si>
    <t xml:space="preserve">Q-34</t>
  </si>
  <si>
    <t xml:space="preserve">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</si>
  <si>
    <t xml:space="preserve">Q-35</t>
  </si>
  <si>
    <t xml:space="preserve">ADOPTADA (recomendación, 2026-08-22):</t>
  </si>
  <si>
    <t xml:space="preserve">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</si>
  <si>
    <t xml:space="preserve">Q-36</t>
  </si>
  <si>
    <t xml:space="preserve">RESUELTA (negocio, 2026-08-22): — todo por Google Workspace por ahora — el volumen actual no llega a 100 correos.</t>
  </si>
  <si>
    <t xml:space="preserve">Configuración</t>
  </si>
  <si>
    <t xml:space="preserve">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</si>
  <si>
    <t xml:space="preserve">Q-37</t>
  </si>
  <si>
    <t xml:space="preserve">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</si>
  <si>
    <t xml:space="preserve">Q-38</t>
  </si>
  <si>
    <t xml:space="preserve">El numero de desarrolladores no es relevante para el plan: el trabajo se hace con IA. *Pregunta original:* ¿Cuántos desarrolladores? Con uno solo las estimaciones se multiplican por 1,7</t>
  </si>
  <si>
    <t xml:space="preserve">Q-40</t>
  </si>
  <si>
    <t xml:space="preserve">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</si>
  <si>
    <t xml:space="preserve">Q-41</t>
  </si>
  <si>
    <t xml:space="preserve">RESUELTA (negocio, 2026-08-22): — 30 días de gracia antes de rechazar por falta de datos fiscales.</t>
  </si>
  <si>
    <t xml:space="preserve">Configurable. → BR-CREATOR-014</t>
  </si>
  <si>
    <t xml:space="preserve">Q-42</t>
  </si>
  <si>
    <t xml:space="preserve">RESUELTA (2026-08-22): — se factura a todos los países desde Perú.</t>
  </si>
  <si>
    <t xml:space="preserve">Ver DEC-047. Los países se resuelven uno a uno más adelante; las tablas específicas por país se crearán en su momento</t>
  </si>
  <si>
    <t xml:space="preserve">Q-44</t>
  </si>
  <si>
    <t xml:space="preserve">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</si>
  <si>
    <t xml:space="preserve">Q-45</t>
  </si>
  <si>
    <t xml:space="preserve">RESUELTA (2026-08-22): — opción B — sin datos fiscales no hay alta, pero se acompaña al creador a formalizarse.</t>
  </si>
  <si>
    <t xml:space="preserve">Ver DEC-049. El pago a un tercero no se implementa; el análisis queda en docs/fase-2/2.14-PAGO-A-TERCEROS.md</t>
  </si>
  <si>
    <t xml:space="preserve">Q-46</t>
  </si>
  <si>
    <t xml:space="preserve">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</si>
  <si>
    <t xml:space="preserve">Q-51</t>
  </si>
  <si>
    <t xml:space="preserve">RESUELTA (2026-08-25, iteracion 4.5). — La pantalla de entidades legales existe: alta y edicion de sociedades, cobertura por pais con vigencia, y baja que cierra las coberturas abiertas (DEC-081).</t>
  </si>
  <si>
    <t xml:space="preserve">El listado enseña arriba los paises con clientes que hoy no puede facturar nadie, que es la pregunta por la que se entra. Al construirla aparecio un bloqueo real del esquema: desactivar sin cerrar la cobertura dejaba el pais sin cubrir y sin poder cubrirse</t>
  </si>
  <si>
    <t xml:space="preserve">Q-63</t>
  </si>
  <si>
    <t xml:space="preserve">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</si>
  <si>
    <t xml:space="preserve">Las decisiones de diseño y de negocio (DEC-XXX) del registro. Una decisión es una elección que ya se tomó y que el sistema respeta; «Propuesta» significa que está razonada y construida pero sin firma formal tuya. Fuente: docs/05-DECISION-LOG.md. Las más recientes arriba.</t>
  </si>
  <si>
    <t xml:space="preserve">Qué se decidió</t>
  </si>
  <si>
    <t xml:space="preserve">Dónde se aplicó</t>
  </si>
  <si>
    <t xml:space="preserve">Detalle y por qué</t>
  </si>
  <si>
    <t xml:space="preserve">DEC-216</t>
  </si>
  <si>
    <t xml:space="preserve">Decidida</t>
  </si>
  <si>
    <t xml:space="preserve">Los plazos de reaceptacion van en la version, no en una tabla de ajustes</t>
  </si>
  <si>
    <t xml:space="preserve">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</si>
  <si>
    <t xml:space="preserve">DEC-217</t>
  </si>
  <si>
    <t xml:space="preserve">El reloj no empieza al publicar: empieza cuando le toca a el</t>
  </si>
  <si>
    <t xml:space="preserve">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</si>
  <si>
    <t xml:space="preserve">DEC-218</t>
  </si>
  <si>
    <t xml:space="preserve">La pantalla del muro no lleva permiso, y eso es la decision</t>
  </si>
  <si>
    <t xml:space="preserve">/mis-terminos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</si>
  <si>
    <t xml:space="preserve">DEC-219</t>
  </si>
  <si>
    <t xml:space="preserve">Una franja fija, no un popup</t>
  </si>
  <si>
    <t xml:space="preserve">El negocio pidio «popup como recordatorio al loguearse». Un popup se cierra sin leerlo y no vuelve hasta la siguiente sesion; la franja sigue ahi mientras siga sin aceptarse. El equipo interno no la ve nunca.</t>
  </si>
  <si>
    <t xml:space="preserve">DEC-212</t>
  </si>
  <si>
    <t xml:space="preserve">Una politica de precios con vigencia, no dos constantes</t>
  </si>
  <si>
    <t xml:space="preserve">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</si>
  <si>
    <t xml:space="preserve">DEC-213</t>
  </si>
  <si>
    <t xml:space="preserve">margin_basis es configuracion, no una pregunta</t>
  </si>
  <si>
    <t xml:space="preserve">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</si>
  <si>
    <t xml:space="preserve">DEC-214</t>
  </si>
  <si>
    <t xml:space="preserve">Se pacta el costo o el neto, y el ingreso minimo se dice, no se impone</t>
  </si>
  <si>
    <t xml:space="preserve">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</si>
  <si>
    <t xml:space="preserve">DEC-215</t>
  </si>
  <si>
    <t xml:space="preserve">La cuenta la hace el motor, no PHP</t>
  </si>
  <si>
    <t xml:space="preserve">neto / (1 - tasa/100) con float da 141.84397163120568 y de ahi a un DECIMAL(18,4) hay un redondeo que puede caer del lado que el CHECK no admite. El contenedor no tiene bcmath, asi que la aritmetica exacta se hace en el motor con CAST a DECIMAL(28,12). Misma tecnica que 9.1 y 9.3.</t>
  </si>
  <si>
    <t xml:space="preserve">DEC-209</t>
  </si>
  <si>
    <t xml:space="preserve">La forma del codigo de localidad la declara el pais, no el codigo</t>
  </si>
  <si>
    <t xml:space="preserve">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</si>
  <si>
    <t xml:space="preserve">DEC-210</t>
  </si>
  <si>
    <t xml:space="preserve">El codigo de establecimiento nace en «0000» y no admite nulo</t>
  </si>
  <si>
    <t xml:space="preserve">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</si>
  <si>
    <t xml:space="preserve">DEC-211</t>
  </si>
  <si>
    <t xml:space="preserve">Que falte el ubigeo no bloquea: es un aviso rojo</t>
  </si>
  <si>
    <t xml:space="preserve">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</si>
  <si>
    <t xml:space="preserve">DEC-205</t>
  </si>
  <si>
    <t xml:space="preserve">Un registro de preparacion, y cada modulo declara lo suyo</t>
  </si>
  <si>
    <t xml:space="preserve">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</si>
  <si>
    <t xml:space="preserve">DEC-206</t>
  </si>
  <si>
    <t xml:space="preserve">Si no puedes arreglarlo, no lo ves</t>
  </si>
  <si>
    <t xml:space="preserve">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</si>
  <si>
    <t xml:space="preserve">DEC-207</t>
  </si>
  <si>
    <t xml:space="preserve">Una comprobacion que revienta no tumba el panel</t>
  </si>
  <si>
    <t xml:space="preserve">Un revisor que lanza una excepcion se convierte en un aviso ambar que lo dice, y las demas areas se siguen viendo. Un panel de «que me falta» que responde 500 porque a un area le pasa algo deja de contestar justo el dia en que hay algo que contestar.</t>
  </si>
  <si>
    <t xml:space="preserve">DEC-208</t>
  </si>
  <si>
    <t xml:space="preserve">El correo en log es ROJO, y va el primero del panel</t>
  </si>
  <si>
    <t xml:space="preserve">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</si>
  <si>
    <t xml:space="preserve">DEC-199</t>
  </si>
  <si>
    <t xml:space="preserve">La marca es una fila, y hay UNA sola por defecto</t>
  </si>
  <si>
    <t xml:space="preserve">«LATAM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</si>
  <si>
    <t xml:space="preserve">DEC-200</t>
  </si>
  <si>
    <t xml:space="preserve">Una configuracion que falta NO bloquea: valor de partida y aviso con prioridad</t>
  </si>
  <si>
    <t xml:space="preserve">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</si>
  <si>
    <t xml:space="preserve">DEC-201</t>
  </si>
  <si>
    <t xml:space="preserve">El logotipo se sirve por una puerta publica propia, sin identificador</t>
  </si>
  <si>
    <t xml:space="preserve">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</si>
  <si>
    <t xml:space="preserve">DEC-202</t>
  </si>
  <si>
    <t xml:space="preserve">El codigo de la marca no se cambia; el nombre visible si</t>
  </si>
  <si>
    <t xml:space="preserve">tg_pb_code lo impide en el motor. El code es la llave con la que el sembrador encuentra la marca: si cambia, el siguiente db:seed crea otra, el sistema amanece con dos y las pantallas siguen ensenando la vieja mientras alguien edita la nueva.</t>
  </si>
  <si>
    <t xml:space="preserve">DEC-203</t>
  </si>
  <si>
    <t xml:space="preserve">Los colores y la tipografia se desinfectan ademas del CHECK</t>
  </si>
  <si>
    <t xml:space="preserve">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</si>
  <si>
    <t xml:space="preserve">DEC-204</t>
  </si>
  <si>
    <t xml:space="preserve">brand.manage es un permiso propio, y no legal_entity.manage</t>
  </si>
  <si>
    <t xml:space="preserve">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</si>
  <si>
    <t xml:space="preserve">DEC-198</t>
  </si>
  <si>
    <t xml:space="preserve">El permiso se mira en CADA peticion: no hay URL firmada de archivo.</t>
  </si>
  <si>
    <t xml:space="preserve">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</si>
  <si>
    <t xml:space="preserve">DEC-197</t>
  </si>
  <si>
    <t xml:space="preserve">Cada modulo declara quien puede ver SUS archivos; no hay un switch central.</t>
  </si>
  <si>
    <t xml:space="preserve">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</si>
  <si>
    <t xml:space="preserve">DEC-196</t>
  </si>
  <si>
    <t xml:space="preserve">La Academia del creador se construye, y cada modulo se configura desde el admin.</t>
  </si>
  <si>
    <t xml:space="preserve">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</si>
  <si>
    <t xml:space="preserve">DEC-195</t>
  </si>
  <si>
    <t xml:space="preserve">El lado del tipo de cambio se configura POR TIPO DE TRANSACCION.</t>
  </si>
  <si>
    <t xml:space="preserve">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</si>
  <si>
    <t xml:space="preserve">DEC-194</t>
  </si>
  <si>
    <t xml:space="preserve">La gamificacion premia con reconocimiento y con un catalogo de premios canjeables por XP.</t>
  </si>
  <si>
    <t xml:space="preserve">Nada de dinero. Los premios --viajes, objetos-- viven en una tabla configurable desde el admin con su coste en XP y su disponibilidad, y el creador los canjea. El hito que consolida un referido es la primera campana completada (Q-25). Cierra Q-23, Q-24 y Q-26</t>
  </si>
  <si>
    <t xml:space="preserve">DEC-193</t>
  </si>
  <si>
    <t xml:space="preserve">Publicar terminos nuevos no expulsa a nadie de golpe: hay plazo, aviso y aterrizaje suave.</t>
  </si>
  <si>
    <t xml:space="preserve">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</si>
  <si>
    <t xml:space="preserve">DEC-192</t>
  </si>
  <si>
    <t xml:space="preserve">Facturacion electronica DIRECTA con SUNAT, no por proveedor.</t>
  </si>
  <si>
    <t xml:space="preserve">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</si>
  <si>
    <t xml:space="preserve">DEC-191</t>
  </si>
  <si>
    <t xml:space="preserve">La retencion se calcula HACIA ATRAS desde el neto pactado, y se compara con un umbral de rentabilidad.</t>
  </si>
  <si>
    <t xml:space="preserve">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</si>
  <si>
    <t xml:space="preserve">DEC-190</t>
  </si>
  <si>
    <t xml:space="preserve">PRINCIPIO RECTOR: la plataforma es WHITE LABEL y todo se configura desde el admin.</t>
  </si>
  <si>
    <t xml:space="preserve">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</si>
  <si>
    <t xml:space="preserve">DEC-189</t>
  </si>
  <si>
    <t xml:space="preserve">Las 23 rutas sin permiso se escriben, con su motivo, en RUTAS-ABIERTAS.</t>
  </si>
  <si>
    <t xml:space="preserve">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</si>
  <si>
    <t xml:space="preserve">DEC-188</t>
  </si>
  <si>
    <t xml:space="preserve">El muro se prueba recorriendo TODAS las rutas, no las que uno recuerda.</t>
  </si>
  <si>
    <t xml:space="preserve">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</si>
  <si>
    <t xml:space="preserve">DEC-187</t>
  </si>
  <si>
    <t xml:space="preserve">Una suite de QA se construye SU caso y no reusa el de nadie.</t>
  </si>
  <si>
    <t xml:space="preserve">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</si>
  <si>
    <t xml:space="preserve">DEC-186</t>
  </si>
  <si>
    <t xml:space="preserve">Nace verificar-cobertura-sql.py: que regla de la base no ha contestado NUNCA a nadie.</t>
  </si>
  <si>
    <t xml:space="preserve">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</si>
  <si>
    <t xml:space="preserve">DEC-185</t>
  </si>
  <si>
    <t xml:space="preserve">El porcentaje de margen solo se da cuando todo esta en una moneda, y si no, se dice por que.</t>
  </si>
  <si>
    <t xml:space="preserve">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</si>
  <si>
    <t xml:space="preserve">DEC-184</t>
  </si>
  <si>
    <t xml:space="preserve">Los canjes salen en la lista, marcados, y fuera de todo total.</t>
  </si>
  <si>
    <t xml:space="preserve">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</si>
  <si>
    <t xml:space="preserve">DEC-183</t>
  </si>
  <si>
    <t xml:space="preserve">Compromiso::margen() se BORRA, no se arregla.</t>
  </si>
  <si>
    <t xml:space="preserve">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</si>
  <si>
    <t xml:space="preserve">DEC-182</t>
  </si>
  <si>
    <t xml:space="preserve">El costo del creador entra al DEVENGARSE, no al pagarse.</t>
  </si>
  <si>
    <t xml:space="preserve">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</si>
  <si>
    <t xml:space="preserve">DEC-181</t>
  </si>
  <si>
    <t xml:space="preserve">Cargar gastos no es ver el margen: campaign_manager pierde campaign.view_margin.</t>
  </si>
  <si>
    <t xml:space="preserve">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</si>
  <si>
    <t xml:space="preserve">DEC-180</t>
  </si>
  <si>
    <t xml:space="preserve">El gasto de una campana se agrupa por moneda: no se suma.</t>
  </si>
  <si>
    <t xml:space="preserve">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</si>
  <si>
    <t xml:space="preserve">DEC-179</t>
  </si>
  <si>
    <t xml:space="preserve">Al creador se le avisa al CONFIRMAR y al DEVOLVER, no al enviar.</t>
  </si>
  <si>
    <t xml:space="preserve">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</si>
  <si>
    <t xml:space="preserve">DEC-178</t>
  </si>
  <si>
    <t xml:space="preserve">Un pago devuelto por el banco NO deshace el devengo.</t>
  </si>
  <si>
    <t xml:space="preserve">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</si>
  <si>
    <t xml:space="preserve">DEC-177</t>
  </si>
  <si>
    <t xml:space="preserve">El CSV del lote NO es el archivo del banco.</t>
  </si>
  <si>
    <t xml:space="preserve">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</si>
  <si>
    <t xml:space="preserve">DEC-176</t>
  </si>
  <si>
    <t xml:space="preserve">Sacar un pago de un lote firmado NO obliga a firmarlo otra vez.</t>
  </si>
  <si>
    <t xml:space="preserve">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</si>
  <si>
    <t xml:space="preserve">DEC-175</t>
  </si>
  <si>
    <t xml:space="preserve">Dos firmas SIEMPRE, sin umbral.</t>
  </si>
  <si>
    <t xml:space="preserve">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</si>
  <si>
    <t xml:space="preserve">DEC-174</t>
  </si>
  <si>
    <t xml:space="preserve">Nace payout_earnings: que devengos paga cada pago.</t>
  </si>
  <si>
    <t xml:space="preserve">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</si>
  <si>
    <t xml:space="preserve">DEC-173</t>
  </si>
  <si>
    <t xml:space="preserve">La fecha de cobro se ensena SOLO cuando el asiento ya es pagable.</t>
  </si>
  <si>
    <t xml:space="preserve">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</si>
  <si>
    <t xml:space="preserve">DEC-172</t>
  </si>
  <si>
    <t xml:space="preserve">El motivo interno de una retencion NO se le ensena al creador.</t>
  </si>
  <si>
    <t xml:space="preserve">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</si>
  <si>
    <t xml:space="preserve">DEC-171</t>
  </si>
  <si>
    <t xml:space="preserve">El barrido rescata las aceptaciones sin devengo, y avisa de que hubo que rescatarlas.</t>
  </si>
  <si>
    <t xml:space="preserve">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</si>
  <si>
    <t xml:space="preserve">DEC-170</t>
  </si>
  <si>
    <t xml:space="preserve">Se devenga al ACEPTAR, no al terminar, y por evento.</t>
  </si>
  <si>
    <t xml:space="preserve">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</si>
  <si>
    <t xml:space="preserve">DEC-169</t>
  </si>
  <si>
    <t xml:space="preserve">El estado de un asiento tiene un grafo, y moverlo exige decir por que.</t>
  </si>
  <si>
    <t xml:space="preserve">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</si>
  <si>
    <t xml:space="preserve">DEC-168</t>
  </si>
  <si>
    <t xml:space="preserve">El asiento va en la moneda PACTADA; se convierte al pagar.</t>
  </si>
  <si>
    <t xml:space="preserve">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</si>
  <si>
    <t xml:space="preserve">DEC-167</t>
  </si>
  <si>
    <t xml:space="preserve">Un post caido RETIENE el asiento; no lo anula.</t>
  </si>
  <si>
    <t xml:space="preserve">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</si>
  <si>
    <t xml:space="preserve">DEC-166</t>
  </si>
  <si>
    <t xml:space="preserve">Pasar un devengo a pagable lo hace el SISTEMA, no una persona.</t>
  </si>
  <si>
    <t xml:space="preserve">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</si>
  <si>
    <t xml:space="preserve">DEC-165</t>
  </si>
  <si>
    <t xml:space="preserve">Decolecta trae USD → PEN y nada mas, y el sistema lo dice en vez de disimularlo.</t>
  </si>
  <si>
    <t xml:space="preserve">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</si>
  <si>
    <t xml:space="preserve">DEC-164</t>
  </si>
  <si>
    <t xml:space="preserve">El cron deja rastro de cada intento, y pide TRES dias.</t>
  </si>
  <si>
    <t xml:space="preserve">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</si>
  <si>
    <t xml:space="preserve">DEC-163</t>
  </si>
  <si>
    <t xml:space="preserve">Cada final de la traida tiene su nombre, y traer() no lanza.</t>
  </si>
  <si>
    <t xml:space="preserve">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</si>
  <si>
    <t xml:space="preserve">DEC-162</t>
  </si>
  <si>
    <t xml:space="preserve">La credencial se configura desde la pantalla, pero el ENTORNO manda y en la base va CIFRADA.</t>
  </si>
  <si>
    <t xml:space="preserve">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</si>
  <si>
    <t xml:space="preserve">DEC-161</t>
  </si>
  <si>
    <t xml:space="preserve">porque() admite alternancia, y eso es lo que faltaba para bajar el trinquete de las 297.</t>
  </si>
  <si>
    <t xml:space="preserve">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</si>
  <si>
    <t xml:space="preserve">DEC-160</t>
  </si>
  <si>
    <t xml:space="preserve">Un dia sin tasa usa la ultima anterior, y lo que se guarda es la fecha de ESA tasa.</t>
  </si>
  <si>
    <t xml:space="preserve">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</si>
  <si>
    <t xml:space="preserve">DEC-159</t>
  </si>
  <si>
    <t xml:space="preserve">Compra y venta son dos filas, y cual aplica NO tiene valor por defecto.</t>
  </si>
  <si>
    <t xml:space="preserve">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</si>
  <si>
    <t xml:space="preserve">DEC-158</t>
  </si>
  <si>
    <t xml:space="preserve">Que fuente publica el tipo de cambio se DECLARA, con periodos, y no se elige al convertir.</t>
  </si>
  <si>
    <t xml:space="preserve">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</si>
  <si>
    <t xml:space="preserve">DEC-157</t>
  </si>
  <si>
    <t xml:space="preserve">BR-LE-009 se comprueba cuando se escribe el primer pago, no en la iteracion 9.11.</t>
  </si>
  <si>
    <t xml:space="preserve">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</si>
  <si>
    <t xml:space="preserve">DEC-156</t>
  </si>
  <si>
    <t xml:space="preserve">La campana decide quien paga a cada creador, y el pais del creador no entra en esa decision.</t>
  </si>
  <si>
    <t xml:space="preserve">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</si>
  <si>
    <t xml:space="preserve">DEC-155</t>
  </si>
  <si>
    <t xml:space="preserve">La sociedad que factura NO se elige: se resuelve, y la pantalla enseña por que.</t>
  </si>
  <si>
    <t xml:space="preserve">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</si>
  <si>
    <t xml:space="preserve">DEC-154</t>
  </si>
  <si>
    <t xml:space="preserve">Los ayudantes de las suites viven en UN archivo, y nace la SEPTIMA puerta.</t>
  </si>
  <si>
    <t xml:space="preserve">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</si>
  <si>
    <t xml:space="preserve">DEC-153</t>
  </si>
  <si>
    <t xml:space="preserve">Una peticion de cambios sin rondas queda PENDIENTE de autorizar.</t>
  </si>
  <si>
    <t xml:space="preserve">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</si>
  <si>
    <t xml:space="preserve">DEC-152</t>
  </si>
  <si>
    <t xml:space="preserve">El silencio del cliente no hace nada, y por eso 8.5 no estrena comando.</t>
  </si>
  <si>
    <t xml:space="preserve">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</si>
  <si>
    <t xml:space="preserve">DEC-151</t>
  </si>
  <si>
    <t xml:space="preserve">La respuesta del cliente se REGISTRA; el equipo cierra.</t>
  </si>
  <si>
    <t xml:space="preserve">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</si>
  <si>
    <t xml:space="preserve">DEC-150</t>
  </si>
  <si>
    <t xml:space="preserve">El techo de rondas pasa a la base, y los disparadores siguen siendo GUARDAS.</t>
  </si>
  <si>
    <t xml:space="preserve">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</si>
  <si>
    <t xml:space="preserve">DEC-149</t>
  </si>
  <si>
    <t xml:space="preserve">Se trabaja en main hasta que haya produccion.</t>
  </si>
  <si>
    <t xml:space="preserve">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</si>
  <si>
    <t xml:space="preserve">DEC-148</t>
  </si>
  <si>
    <t xml:space="preserve">El entregable caido tiene estado propio, y expired pasa a llamarse fulfilled.</t>
  </si>
  <si>
    <t xml:space="preserve">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</si>
  <si>
    <t xml:space="preserve">DEC-147</t>
  </si>
  <si>
    <t xml:space="preserve">Se avisa al creador y al equipo; al cliente no.</t>
  </si>
  <si>
    <t xml:space="preserve">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</si>
  <si>
    <t xml:space="preserve">DEC-146</t>
  </si>
  <si>
    <t xml:space="preserve">La sonda marca; una persona confirma.</t>
  </si>
  <si>
    <t xml:space="preserve">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</si>
  <si>
    <t xml:space="preserve">DEC-145</t>
  </si>
  <si>
    <t xml:space="preserve">Retirar el post antes de tiempo BLOQUEA el pago, y el sistema no descuenta nada.</t>
  </si>
  <si>
    <t xml:space="preserve">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</si>
  <si>
    <t xml:space="preserve">DEC-144</t>
  </si>
  <si>
    <t xml:space="preserve">Si el post no esta, el entregable vuelve al CREADOR, no a revision.</t>
  </si>
  <si>
    <t xml:space="preserve">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</si>
  <si>
    <t xml:space="preserve">DEC-143</t>
  </si>
  <si>
    <t xml:space="preserve">Verificar tiene su propio permiso, content.verify.</t>
  </si>
  <si>
    <t xml:space="preserve">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</si>
  <si>
    <t xml:space="preserve">DEC-142</t>
  </si>
  <si>
    <t xml:space="preserve">La evidencia de que un post existe es una CAPTURA, no una comprobacion HTTP.</t>
  </si>
  <si>
    <t xml:space="preserve">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</si>
  <si>
    <t xml:space="preserve">DEC-141</t>
  </si>
  <si>
    <t xml:space="preserve">La red se DEDUCE del enlace, y tiene que ser la del brief.</t>
  </si>
  <si>
    <t xml:space="preserve">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</si>
  <si>
    <t xml:space="preserve">DEC-140</t>
  </si>
  <si>
    <t xml:space="preserve">Solo se publica lo aprobado, y ESA version.</t>
  </si>
  <si>
    <t xml:space="preserve">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</si>
  <si>
    <t xml:space="preserve">DEC-139</t>
  </si>
  <si>
    <t xml:space="preserve">El post lo reporta el CREADOR, y el equipo tambien puede.</t>
  </si>
  <si>
    <t xml:space="preserve">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</si>
  <si>
    <t xml:space="preserve">DEC-138</t>
  </si>
  <si>
    <t xml:space="preserve">Un entregable aprobado se puede REABRIR, con motivo de lista cerrada y firma.</t>
  </si>
  <si>
    <t xml:space="preserve">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</si>
  <si>
    <t xml:space="preserve">DEC-137</t>
  </si>
  <si>
    <t xml:space="preserve">El puntero apunta a la version APROBADA, y su clave ajena es COMPUESTA.</t>
  </si>
  <si>
    <t xml:space="preserve">«La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</si>
  <si>
    <t xml:space="preserve">DEC-136</t>
  </si>
  <si>
    <t xml:space="preserve">Tres permisos y no uno: revisar, aprobar y autorizar una ronda de mas.</t>
  </si>
  <si>
    <t xml:space="preserve">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</si>
  <si>
    <t xml:space="preserve">DEC-135</t>
  </si>
  <si>
    <t xml:space="preserve">Pasarse de las rondas incluidas se BLOQUEA y exige decidir y firmar; y el cargo NO va a campaign_costs.</t>
  </si>
  <si>
    <t xml:space="preserve">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</si>
  <si>
    <t xml:space="preserve">DEC-134</t>
  </si>
  <si>
    <t xml:space="preserve">Hasta 8.5, quien lleva la cuenta marca de parte de quien viene la correccion.</t>
  </si>
  <si>
    <t xml:space="preserve">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</si>
  <si>
    <t xml:space="preserve">DEC-133</t>
  </si>
  <si>
    <t xml:space="preserve">Solo las rondas del CLIENTE cuentan contra el precio, y son POR ENTREGABLE.</t>
  </si>
  <si>
    <t xml:space="preserve">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</si>
  <si>
    <t xml:space="preserve">DEC-132</t>
  </si>
  <si>
    <t xml:space="preserve">Si al caption le faltan las etiquetas del brief, NO SE ENVIA, y se le dice cuales.</t>
  </si>
  <si>
    <t xml:space="preserve">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</si>
  <si>
    <t xml:space="preserve">DEC-131</t>
  </si>
  <si>
    <t xml:space="preserve">Se entrega un ENLACE externo, y opcionalmente una imagen.</t>
  </si>
  <si>
    <t xml:space="preserve">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</si>
  <si>
    <t xml:space="preserve">DEC-130</t>
  </si>
  <si>
    <t xml:space="preserve">El brief que se usa es el EFECTIVO, no el general.</t>
  </si>
  <si>
    <t xml:space="preserve">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</si>
  <si>
    <t xml:space="preserve">DEC-129</t>
  </si>
  <si>
    <t xml:space="preserve">Los entregables se generan SOLOS al aceptar, y la generacion es idempotente.</t>
  </si>
  <si>
    <t xml:space="preserve">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</si>
  <si>
    <t xml:space="preserve">DEC-128</t>
  </si>
  <si>
    <t xml:space="preserve">En el seguimiento, el dinero SI y el margen solo con su permiso.</t>
  </si>
  <si>
    <t xml:space="preserve">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</si>
  <si>
    <t xml:space="preserve">DEC-127</t>
  </si>
  <si>
    <t xml:space="preserve">Cuatro alertas en el panel de seguimiento, y su orden NO es por gravedad.</t>
  </si>
  <si>
    <t xml:space="preserve">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</si>
  <si>
    <t xml:space="preserve">DEC-126</t>
  </si>
  <si>
    <t xml:space="preserve">usuarios:crear deja de teclear la contrasena; el alta interna usa el mismo enlace de 72 h que la del creador.</t>
  </si>
  <si>
    <t xml:space="preserve">7.6b</t>
  </si>
  <si>
    <t xml:space="preserve">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</si>
  <si>
    <t xml:space="preserve">DEC-125</t>
  </si>
  <si>
    <t xml:space="preserve">Cuando un creador contesta, se avisa a QUIEN LE INVITO y a nadie mas.</t>
  </si>
  <si>
    <t xml:space="preserve">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</si>
  <si>
    <t xml:space="preserve">DEC-124</t>
  </si>
  <si>
    <t xml:space="preserve">Preguntar NO mueve el plazo de la invitacion.</t>
  </si>
  <si>
    <t xml:space="preserve">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</si>
  <si>
    <t xml:space="preserve">DEC-123</t>
  </si>
  <si>
    <t xml:space="preserve">Pedir un correo se hace desde Shared, no desde el modulo que lo necesita.</t>
  </si>
  <si>
    <t xml:space="preserve">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</si>
  <si>
    <t xml:space="preserve">DEC-122</t>
  </si>
  <si>
    <t xml:space="preserve">La invitacion COPIA el importe con el que salio, y el importe no se mueve mientras este viva.</t>
  </si>
  <si>
    <t xml:space="preserve">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</si>
  <si>
    <t xml:space="preserve">DEC-121</t>
  </si>
  <si>
    <t xml:space="preserve">Rechazar no cierra la campana para ese creador, y quedan las DOS rondas.</t>
  </si>
  <si>
    <t xml:space="preserve">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</si>
  <si>
    <t xml:space="preserve">DEC-120</t>
  </si>
  <si>
    <t xml:space="preserve">El plazo para contestar vive en la CAMPANA, no en cada invitacion.</t>
  </si>
  <si>
    <t xml:space="preserve">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</si>
  <si>
    <t xml:space="preserve">DEC-119</t>
  </si>
  <si>
    <t xml:space="preserve">El creador contesta la invitacion EL MISMO, por enlace.</t>
  </si>
  <si>
    <t xml:space="preserve">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</si>
  <si>
    <t xml:space="preserve">DEC-118</t>
  </si>
  <si>
    <t xml:space="preserve">La portada se bifurca por TIPO DE USUARIO, y SESSION_DRIVER=database pasa a ser requisito de seguridad.</t>
  </si>
  <si>
    <t xml:space="preserve">5.9 + 4.1</t>
  </si>
  <si>
    <t xml:space="preserve">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</si>
  <si>
    <t xml:space="preserve">DEC-117</t>
  </si>
  <si>
    <t xml:space="preserve">El token no se queda en la barra de direcciones.</t>
  </si>
  <si>
    <t xml:space="preserve">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</si>
  <si>
    <t xml:space="preserve">DEC-116</t>
  </si>
  <si>
    <t xml:space="preserve">Un enlace nuevo invalida el anterior, y usar uno mata todos los demas.</t>
  </si>
  <si>
    <t xml:space="preserve">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</si>
  <si>
    <t xml:space="preserve">DEC-115</t>
  </si>
  <si>
    <t xml:space="preserve">Pedir recuperacion contesta lo mismo exista o no el correo.</t>
  </si>
  <si>
    <t xml:space="preserve">«Si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</si>
  <si>
    <t xml:space="preserve">DEC-114</t>
  </si>
  <si>
    <t xml:space="preserve">De un token de contrasena se guarda la HUELLA, nunca el token.</t>
  </si>
  <si>
    <t xml:space="preserve">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</si>
  <si>
    <t xml:space="preserve">DEC-113</t>
  </si>
  <si>
    <t xml:space="preserve">El enlace de alta dura 72 h; el de recuperacion, 1 h.</t>
  </si>
  <si>
    <t xml:space="preserve">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</si>
  <si>
    <t xml:space="preserve">DEC-112</t>
  </si>
  <si>
    <t xml:space="preserve">Los modulos se comunican por EVENTOS, no llamandose.</t>
  </si>
  <si>
    <t xml:space="preserve">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</si>
  <si>
    <t xml:space="preserve">DEC-111</t>
  </si>
  <si>
    <t xml:space="preserve">Si el aviso no se puede enviar, el cambio sigue adelante.</t>
  </si>
  <si>
    <t xml:space="preserve">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</si>
  <si>
    <t xml:space="preserve">DEC-110</t>
  </si>
  <si>
    <t xml:space="preserve">El correo de aviso NO lleva el dato dentro.</t>
  </si>
  <si>
    <t xml:space="preserve">«Alguien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</si>
  <si>
    <t xml:space="preserve">DEC-109</t>
  </si>
  <si>
    <t xml:space="preserve">El aviso de cambio sensible sale al CAPTURAR, no al aprobar.</t>
  </si>
  <si>
    <t xml:space="preserve">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</si>
  <si>
    <t xml:space="preserve">DEC-108</t>
  </si>
  <si>
    <t xml:space="preserve">Tres intentos espaciados (1, 5 y 15 minutos) y luego failed VISIBLE.</t>
  </si>
  <si>
    <t xml:space="preserve">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</si>
  <si>
    <t xml:space="preserve">DEC-107</t>
  </si>
  <si>
    <t xml:space="preserve">Sin plantilla en el idioma del destinatario se cae al de por defecto, y se ANOTA.</t>
  </si>
  <si>
    <t xml:space="preserve">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</si>
  <si>
    <t xml:space="preserve">DEC-106</t>
  </si>
  <si>
    <t xml:space="preserve">Del correo enviado se guarda la HUELLA del cuerpo, no el cuerpo.</t>
  </si>
  <si>
    <t xml:space="preserve">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</si>
  <si>
    <t xml:space="preserve">DEC-105</t>
  </si>
  <si>
    <t xml:space="preserve">Pasarse del presupuesto de creadores se BLOQUEA, y finanzas lo autoriza dejando el motivo.</t>
  </si>
  <si>
    <t xml:space="preserve">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</si>
  <si>
    <t xml:space="preserve">DEC-104</t>
  </si>
  <si>
    <t xml:space="preserve">El monto acordado se fija al INVITAR y se congela al ACEPTAR.</t>
  </si>
  <si>
    <t xml:space="preserve">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</si>
  <si>
    <t xml:space="preserve">DEC-103</t>
  </si>
  <si>
    <t xml:space="preserve">«2 reels» en el brief es lo que entrega CADA creador, no el total de la campana.</t>
  </si>
  <si>
    <t xml:space="preserve">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</si>
  <si>
    <t xml:space="preserve">DEC-102</t>
  </si>
  <si>
    <t xml:space="preserve">Nadie entra en una campana cerrada, y una participacion que ya estaba solo se puede cancelar.</t>
  </si>
  <si>
    <t xml:space="preserve">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</si>
  <si>
    <t xml:space="preserve">DEC-101</t>
  </si>
  <si>
    <t xml:space="preserve">En la lista corta se entra a un mercado CONCRETO, derivado del pais del creador.</t>
  </si>
  <si>
    <t xml:space="preserve">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</si>
  <si>
    <t xml:space="preserve">DEC-100</t>
  </si>
  <si>
    <t xml:space="preserve">Una categoria que el creador declaro que NO trabaja lo excluye del buscador.</t>
  </si>
  <si>
    <t xml:space="preserve">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</si>
  <si>
    <t xml:space="preserve">DEC-099</t>
  </si>
  <si>
    <t xml:space="preserve">El buscador ensena a todos los activos; el veto real salta al anadir.</t>
  </si>
  <si>
    <t xml:space="preserve">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</si>
  <si>
    <t xml:space="preserve">DEC-098</t>
  </si>
  <si>
    <t xml:space="preserve">Que el mercado sea DE la campana lo garantiza el esquema, con foraneas COMPUESTAS.</t>
  </si>
  <si>
    <t xml:space="preserve">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</si>
  <si>
    <t xml:space="preserve">DEC-097</t>
  </si>
  <si>
    <t xml:space="preserve">El pais de un mercado no necesita cobertura de facturacion.</t>
  </si>
  <si>
    <t xml:space="preserve">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</si>
  <si>
    <t xml:space="preserve">DEC-096</t>
  </si>
  <si>
    <t xml:space="preserve">De una campana confirmada se ANADE un mercado, no se quita.</t>
  </si>
  <si>
    <t xml:space="preserve">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</si>
  <si>
    <t xml:space="preserve">DEC-095</t>
  </si>
  <si>
    <t xml:space="preserve">Una campana necesita al menos un mercado para salir de borrador.</t>
  </si>
  <si>
    <t xml:space="preserve">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</si>
  <si>
    <t xml:space="preserve">DEC-094</t>
  </si>
  <si>
    <t xml:space="preserve">La regla se recorta a los estados NO iniciales, como sus dos hermanas.</t>
  </si>
  <si>
    <t xml:space="preserve">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</si>
  <si>
    <t xml:space="preserve">DEC-093</t>
  </si>
  <si>
    <t xml:space="preserve">Ingreso cero es valido, pero hay que declararlo.</t>
  </si>
  <si>
    <t xml:space="preserve">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</si>
  <si>
    <t xml:space="preserve">DEC-092</t>
  </si>
  <si>
    <t xml:space="preserve">«Brief definido» son los REQUISITOS, no el texto del briefing.</t>
  </si>
  <si>
    <t xml:space="preserve">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</si>
  <si>
    <t xml:space="preserve">DEC-091</t>
  </si>
  <si>
    <t xml:space="preserve">Aprobar una campana es de finanzas, no de quien la monta.</t>
  </si>
  <si>
    <t xml:space="preserve">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</si>
  <si>
    <t xml:space="preserve">DEC-090</t>
  </si>
  <si>
    <t xml:space="preserve">Se congela al confirmar, no al salir de borrador.</t>
  </si>
  <si>
    <t xml:space="preserve">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</si>
  <si>
    <t xml:space="preserve">DEC-089</t>
  </si>
  <si>
    <t xml:space="preserve">La sociedad que factura una campana se resuelve a starts_on.</t>
  </si>
  <si>
    <t xml:space="preserve">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</si>
  <si>
    <t xml:space="preserve">DEC-088</t>
  </si>
  <si>
    <t xml:space="preserve">La aritmetica de vigencias vive en Vigencia, y una puerta lo comprueba.</t>
  </si>
  <si>
    <t xml:space="preserve">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</si>
  <si>
    <t xml:space="preserve">DEC-087</t>
  </si>
  <si>
    <t xml:space="preserve">Un 1062 se absorbe o se cuenta segun quien eligio el valor, y hay que NOMBRAR el indice para absorberlo.</t>
  </si>
  <si>
    <t xml:space="preserve">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</si>
  <si>
    <t xml:space="preserve">DEC-086</t>
  </si>
  <si>
    <t xml:space="preserve">La contraseña temporal deja de ser válida en el primer acceso</t>
  </si>
  <si>
    <t xml:space="preserve">DEC-085</t>
  </si>
  <si>
    <t xml:space="preserve">La bitácora la protegen dos usuarios de base de datos, no el esquema</t>
  </si>
  <si>
    <t xml:space="preserve">DEC-084</t>
  </si>
  <si>
    <t xml:space="preserve">«Perfil fiscal vigente» exige que ya haya empezado</t>
  </si>
  <si>
    <t xml:space="preserve">DEC-083</t>
  </si>
  <si>
    <t xml:space="preserve">«Cuenta compartida» se calcula al leer, no se guarda</t>
  </si>
  <si>
    <t xml:space="preserve">DEC-082</t>
  </si>
  <si>
    <t xml:space="preserve">Las sociedades del grupo las gestiona sólo admin</t>
  </si>
  <si>
    <t xml:space="preserve">DEC-081</t>
  </si>
  <si>
    <t xml:space="preserve">Dar de baja una sociedad cierra sus coberturas abiertas</t>
  </si>
  <si>
    <t xml:space="preserve">DEC-080</t>
  </si>
  <si>
    <t xml:space="preserve">Un gate que comprueba que los nombres entre capas existen</t>
  </si>
  <si>
    <t xml:space="preserve">DEC-079</t>
  </si>
  <si>
    <t xml:space="preserve">La identidad fiscal del cliente tiene permiso propio, en dos roles</t>
  </si>
  <si>
    <t xml:space="preserve">DEC-078</t>
  </si>
  <si>
    <t xml:space="preserve">El histórico fiscal del cliente está congelado</t>
  </si>
  <si>
    <t xml:space="preserve">DEC-077</t>
  </si>
  <si>
    <t xml:space="preserve">Un contacto no cambia de cliente</t>
  </si>
  <si>
    <t xml:space="preserve">DEC-076</t>
  </si>
  <si>
    <t xml:space="preserve">La lista de suites de restricción vive en un solo archivo</t>
  </si>
  <si>
    <t xml:space="preserve">DEC-075</t>
  </si>
  <si>
    <t xml:space="preserve">El relevo del contacto principal se hace, no se rechaza</t>
  </si>
  <si>
    <t xml:space="preserve">DEC-074</t>
  </si>
  <si>
    <t xml:space="preserve">Al dar de alta un cliente se crea su primera marca</t>
  </si>
  <si>
    <t xml:space="preserve">DEC-073</t>
  </si>
  <si>
    <t xml:space="preserve">Un prospecto se apunta en cualquier país; activarlo exige cobertura</t>
  </si>
  <si>
    <t xml:space="preserve">ADOPTADA e implementada (2026-08-24, iteración 3.9)</t>
  </si>
  <si>
    <t xml:space="preserve">DEC-072</t>
  </si>
  <si>
    <t xml:space="preserve">creator_addresses queda fuera de la regla de periodos</t>
  </si>
  <si>
    <t xml:space="preserve">DEC-071</t>
  </si>
  <si>
    <t xml:space="preserve">Un perfil fiscal nuevo no puede empezar antes que el vigente</t>
  </si>
  <si>
    <t xml:space="preserve">DEC-070</t>
  </si>
  <si>
    <t xml:space="preserve">Un bloqueo de agenda se registra aunque pise una campaña aceptada</t>
  </si>
  <si>
    <t xml:space="preserve">DEC-069</t>
  </si>
  <si>
    <t xml:space="preserve">Las tarifas tienen permiso propio: creator.rate.manage</t>
  </si>
  <si>
    <t xml:space="preserve">DEC-068</t>
  </si>
  <si>
    <t xml:space="preserve">Cero es un precio válido, pero hay que declararlo</t>
  </si>
  <si>
    <t xml:space="preserve">DEC-067</t>
  </si>
  <si>
    <t xml:space="preserve">Los dos permisos de medios de pago van al rol finance</t>
  </si>
  <si>
    <t xml:space="preserve">ADOPTADA e implementada (2026-08-23, iteración 3.8)</t>
  </si>
  <si>
    <t xml:space="preserve">DEC-066</t>
  </si>
  <si>
    <t xml:space="preserve">La cuenta de un medio de pago es inmutable: se sustituye, no se edita</t>
  </si>
  <si>
    <t xml:space="preserve">DEC-065</t>
  </si>
  <si>
    <t xml:space="preserve">La misma cuenta en dos creadores se marca, no se rechaza</t>
  </si>
  <si>
    <t xml:space="preserve">DEC-064</t>
  </si>
  <si>
    <t xml:space="preserve">El enfriamiento de un medio de pago son 24 horas, y es configuración</t>
  </si>
  <si>
    <t xml:space="preserve">DEC-063</t>
  </si>
  <si>
    <t xml:space="preserve">Los umbrales de coherencia son juicio, no verdad; y no rechazan nada</t>
  </si>
  <si>
    <t xml:space="preserve">ADOPTADA e implementada (2026-08-23, iteración 3.7) — umbrales revisables</t>
  </si>
  <si>
    <t xml:space="preserve">DEC-062</t>
  </si>
  <si>
    <t xml:space="preserve">Los dos permisos fiscales van al mismo rol; la separación la impone la base</t>
  </si>
  <si>
    <t xml:space="preserve">ADOPTADA e implementada (2026-08-23, iteración 3.6)</t>
  </si>
  <si>
    <t xml:space="preserve">DEC-061</t>
  </si>
  <si>
    <t xml:space="preserve">Las pruebas usan una base local y desechable, nunca la de desarrollo</t>
  </si>
  <si>
    <t xml:space="preserve">ADOPTADA e implementada (2026-08-23, iteración 3.5)</t>
  </si>
  <si>
    <t xml:space="preserve">DEC-060</t>
  </si>
  <si>
    <t xml:space="preserve">Verificar y activar son permisos distintos, pero hoy el mismo rol</t>
  </si>
  <si>
    <t xml:space="preserve">ADOPTADA (2026-08-23, iteración 3.5) — decisión de negocio revisable</t>
  </si>
  <si>
    <t xml:space="preserve">DEC-059</t>
  </si>
  <si>
    <t xml:space="preserve">Se acepta una versión de los términos, no una página</t>
  </si>
  <si>
    <t xml:space="preserve">DEC-058</t>
  </si>
  <si>
    <t xml:space="preserve">La identidad verificada es evidencia, no una casilla</t>
  </si>
  <si>
    <t xml:space="preserve">DEC-057</t>
  </si>
  <si>
    <t xml:space="preserve">Aprobar una solicitud no activa al creador</t>
  </si>
  <si>
    <t xml:space="preserve">ADOPTADA e implementada (2026-08-22, iteración 3.4)</t>
  </si>
  <si>
    <t xml:space="preserve">DEC-056</t>
  </si>
  <si>
    <t xml:space="preserve">La bitácora se ordena por id, no por fecha, y redacta lo sensible</t>
  </si>
  <si>
    <t xml:space="preserve">ADOPTADA e implementada (2026-08-22, iteración 3.3)</t>
  </si>
  <si>
    <t xml:space="preserve">DEC-055</t>
  </si>
  <si>
    <t xml:space="preserve">La primera pantalla de escritura no toca la identidad</t>
  </si>
  <si>
    <t xml:space="preserve">ADOPTADA e implementada (2026-08-22, iteración 3.2)</t>
  </si>
  <si>
    <t xml:space="preserve"> — Primera pantalla del proyecto que escribe: edición de creador.</t>
  </si>
  <si>
    <t xml:space="preserve">DEC-054</t>
  </si>
  <si>
    <t xml:space="preserve">La bitácora es inmutable en la base, no por convención</t>
  </si>
  <si>
    <t xml:space="preserve"> — audit_logs existía desde 2.4 y nadie escribía en ella. Al ir a llenarla apareció el segundo problema: la tabla admitía UPDATE y DELETE como cualquier otra.</t>
  </si>
  <si>
    <t xml:space="preserve">DEC-053</t>
  </si>
  <si>
    <t xml:space="preserve">Autorización por permiso, sin atajo para el administrador</t>
  </si>
  <si>
    <t xml:space="preserve">ADOPTADA e implementada (2026-08-22, iteración 3.1)</t>
  </si>
  <si>
    <t xml:space="preserve">DEC-052</t>
  </si>
  <si>
    <t xml:space="preserve">MySQL no admite subconsultas sobre la tabla que se está modificando</t>
  </si>
  <si>
    <t xml:space="preserve">ADOPTADA (2026-08-22)</t>
  </si>
  <si>
    <t xml:space="preserve">DEC-051</t>
  </si>
  <si>
    <t xml:space="preserve">El CI corre la suite contra los dos motores, no contra uno</t>
  </si>
  <si>
    <t xml:space="preserve">ADOPTADA (2026-08-22). Recordatorio: tools/github-workflow-ci.yml sigue pendiente de mover a .github/workflows/ci.yml a mano — es ruta protegida</t>
  </si>
  <si>
    <t xml:space="preserve"> — El CI validaba formato, análisis estático, fronteras entre módulos, migraciones y pruebas. Nada de eso comprueba que las restricciones se apliquen en el motor de producción, que no aplica CHECK.</t>
  </si>
  <si>
    <t xml:space="preserve">DEC-050</t>
  </si>
  <si>
    <t xml:space="preserve">Las migraciones se contrastan contra el esquema de referencia, no se confía en que coincidan</t>
  </si>
  <si>
    <t xml:space="preserve">ADOPTADA e implementada (2026-08-22)</t>
  </si>
  <si>
    <t xml:space="preserve">DEC-049</t>
  </si>
  <si>
    <t xml:space="preserve">Sin datos fiscales no hay alta, pero acompañamos a formalizarse</t>
  </si>
  <si>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</si>
  <si>
    <t xml:space="preserve">DEC-048</t>
  </si>
  <si>
    <t xml:space="preserve">La retención tiene tres estados, no dos</t>
  </si>
  <si>
    <t xml:space="preserve">ADOPTADA e implementada (2026-08-22, iteración 2.15)</t>
  </si>
  <si>
    <t xml:space="preserve"> — Sobre Q-40 se decidió «que el modelo lo deje configurable». Al implementarlo apareció que el riesgo que yo había señalado —*«alguien pone un número a ojo y nadie se entera»*— ya estaba dentro del modelo, y era peor.</t>
  </si>
  <si>
    <t xml:space="preserve">DEC-047</t>
  </si>
  <si>
    <t xml:space="preserve">Se factura a todos los países desde Perú</t>
  </si>
  <si>
    <t xml:space="preserve"> — Respuesta a Q-42. En lugar de constituir sociedad en cada país, se emiten todos los comprobantes desde la sociedad peruana. Los países se resuelven uno a uno más adelante.</t>
  </si>
  <si>
    <t xml:space="preserve">DEC-046</t>
  </si>
  <si>
    <t xml:space="preserve">La base impone lo que ve en una fila; el resto lo impone el repositorio</t>
  </si>
  <si>
    <t xml:space="preserve">ADOPTADA (2026-08-22, iteración 2.13)</t>
  </si>
  <si>
    <t xml:space="preserve"> — Cinco invariantes de finanzas son de varias filas o varias tablas (suma de líneas = subtotal, cobros ≤ total facturado, moneda de asiento = moneda de su payout, signo de una reversión, saldo no negativo). Ningún CHECK puede expresarlas.</t>
  </si>
  <si>
    <t xml:space="preserve">DEC-045</t>
  </si>
  <si>
    <t xml:space="preserve">La inmutabilidad financiera se impone con disparadores, no con convención</t>
  </si>
  <si>
    <t xml:space="preserve">ADOPTADA e implementada (2026-08-22, iteración 2.13)</t>
  </si>
  <si>
    <t xml:space="preserve"> — BR-FIN-008 («ningún registro financiero se elimina físicamente») y BR-FIN-002 («una corrección es un asiento de reversión») eran hasta ahora reglas de la capa de aplicación.</t>
  </si>
  <si>
    <t xml:space="preserve">DEC-044</t>
  </si>
  <si>
    <t xml:space="preserve">Todo pago pertenece a un lote (no existen pagos sueltos)</t>
  </si>
  <si>
    <t xml:space="preserve"> — La primera versión de payouts permitía payout_batch_id NULL, pensando en el pago puntual fuera de la corrida quincenal.</t>
  </si>
  <si>
    <t xml:space="preserve">DEC-043</t>
  </si>
  <si>
    <t xml:space="preserve">Dónde vive la base de datos de desarrollo</t>
  </si>
  <si>
    <t xml:space="preserve">ACORDADA en su intención; el motor concreto depende de DEC-042</t>
  </si>
  <si>
    <t xml:space="preserve">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</si>
  <si>
    <t xml:space="preserve">DEC-042</t>
  </si>
  <si>
    <t xml:space="preserve">🔴 El servidor es MySQL 5.7 y no aplica los CHECK *(confirmado empíricamente)*</t>
  </si>
  <si>
    <t xml:space="preserve">🔴 CONFIRMADA — pendiente de elegir entre B y C</t>
  </si>
  <si>
    <t xml:space="preserve"> — El servidor de la aplicación es Percona Server 5.7.44-48 sobre cPanel. La base de desarrollo (..._dev) y la de producción viven en él. docs/03 asumía MySQL 8.</t>
  </si>
  <si>
    <t xml:space="preserve">DEC-041</t>
  </si>
  <si>
    <t xml:space="preserve">Propuesta</t>
  </si>
  <si>
    <t xml:space="preserve">Gamificación y Creator Score no se fusionan</t>
  </si>
  <si>
    <t xml:space="preserve">PROPUESTA</t>
  </si>
  <si>
    <t xml:space="preserve">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</si>
  <si>
    <t xml:space="preserve">DEC-040</t>
  </si>
  <si>
    <t xml:space="preserve">Referidos con consolidación diferida</t>
  </si>
  <si>
    <t xml:space="preserve">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</si>
  <si>
    <t xml:space="preserve">DEC-039</t>
  </si>
  <si>
    <t xml:space="preserve">Los retos internos llevan siempre recompensa tangible 🔴</t>
  </si>
  <si>
    <t xml:space="preserve">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</si>
  <si>
    <t xml:space="preserve">DEC-038</t>
  </si>
  <si>
    <t xml:space="preserve">Ranking por cohortes, sin tabla global</t>
  </si>
  <si>
    <t xml:space="preserve">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</si>
  <si>
    <t xml:space="preserve">DEC-037</t>
  </si>
  <si>
    <t xml:space="preserve">Los niveles se calculan, no se almacenan</t>
  </si>
  <si>
    <t xml:space="preserve">B. Permite ajustar umbrales sin quitarle puntos a nadie, que es justamente lo que DEC-035 prohíbe. — Las curvas de nivel se recalibran; el XP ya otorgado no debe verse afectado.</t>
  </si>
  <si>
    <t xml:space="preserve">DEC-036</t>
  </si>
  <si>
    <t xml:space="preserve">Se premia comportamiento verificado, no resultados</t>
  </si>
  <si>
    <t xml:space="preserve">C. A premia al algoritmo de Instagram, no al creador. B produce sobrecompromiso —creadores que aceptan lo que no pueden cumplir— y, en el caso de seguidores, desmotiva al micro-creador y premia el vector de fraude de R-04. Detalle en docs/13 §3. — ¿Sobre qué se otorga XP?</t>
  </si>
  <si>
    <t xml:space="preserve">DEC-035</t>
  </si>
  <si>
    <t xml:space="preserve">El XP es append-only y nunca decrece</t>
  </si>
  <si>
    <t xml:space="preserve">B. Quitar puntos se percibe como robo y destruye la confianza de golpe. Además sería castigar dos veces con el mecanismo equivocado. Mismo patrón que el ledger financiero: se corrige con asientos nuevos, no editando. — ¿Se puede restar XP por un incumplimiento?</t>
  </si>
  <si>
    <t xml:space="preserve">DEC-034</t>
  </si>
  <si>
    <t xml:space="preserve">Gamificación como dominio propio (D13)</t>
  </si>
  <si>
    <t xml:space="preserve">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</si>
  <si>
    <t xml:space="preserve">DEC-033</t>
  </si>
  <si>
    <t xml:space="preserve">Registrar la conexión emisora en cada documento</t>
  </si>
  <si>
    <t xml:space="preserve">B, aplicado a comprobantes electrónicos, cobros por pasarela, pagos a creadores ejecutados por proveedor y correos enviados. — Paralelo exacto de DEC-019. Si dentro de un año hay que consultar ante el proveedor el estado del comprobante F001-00347, hay que saber por cuál se emitió.</t>
  </si>
  <si>
    <t xml:space="preserve">DEC-032</t>
  </si>
  <si>
    <t xml:space="preserve">Compartibilidad declarada por propósito</t>
  </si>
  <si>
    <t xml:space="preserve">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</si>
  <si>
    <t xml:space="preserve">Una URL de webhook por conexión</t>
  </si>
  <si>
    <t xml:space="preserve">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</si>
  <si>
    <t xml:space="preserve">DEC-030</t>
  </si>
  <si>
    <t xml:space="preserve">Cifrado sobre para las credenciales</t>
  </si>
  <si>
    <t xml:space="preserve">B, con versionado en la rotación (no sobrescribir), escritura sin lectura desde la interfaz, y un filtro de redacción a nivel del logger — no "acordarse de no loguear". — El addendum señala que las credenciales pueden requerir almacenamiento distinto, sin concretar.</t>
  </si>
  <si>
    <t xml:space="preserve">DEC-029</t>
  </si>
  <si>
    <t xml:space="preserve">Aislamiento de ambiente como barrera, no como filtro</t>
  </si>
  <si>
    <t xml:space="preserve">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</si>
  <si>
    <t xml:space="preserve">DEC-028</t>
  </si>
  <si>
    <t xml:space="preserve">Matriz de propósitos obligatorios por país</t>
  </si>
  <si>
    <t xml:space="preserve">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</si>
  <si>
    <t xml:space="preserve">DEC-027</t>
  </si>
  <si>
    <t xml:space="preserve">Resolución por especificidad, con empates rechazados al guardar</t>
  </si>
  <si>
    <t xml:space="preserve">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</si>
  <si>
    <t xml:space="preserve">DEC-026</t>
  </si>
  <si>
    <t xml:space="preserve">purpose es un enum cerrado en código, no un catálogo editable</t>
  </si>
  <si>
    <t xml:space="preserve">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</si>
  <si>
    <t xml:space="preserve">DEC-025</t>
  </si>
  <si>
    <t xml:space="preserve">Proveedor / Conexión / Asignación como tres entidades</t>
  </si>
  <si>
    <t xml:space="preserve">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</si>
  <si>
    <t xml:space="preserve">DEC-024</t>
  </si>
  <si>
    <t xml:space="preserve">Las integraciones son un subsistema propio, no Settings</t>
  </si>
  <si>
    <t xml:space="preserve">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</si>
  <si>
    <t xml:space="preserve">DEC-023</t>
  </si>
  <si>
    <t xml:space="preserve">Identidad dual en comunicaciones</t>
  </si>
  <si>
    <t xml:space="preserve">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</si>
  <si>
    <t xml:space="preserve">DEC-022</t>
  </si>
  <si>
    <t xml:space="preserve">Monedas: no derivar del país de la entidad</t>
  </si>
  <si>
    <t xml:space="preserve">B. Coherente con BR-FIN-004 y BR-FIN-009, que ya exigían no asumir una sola moneda. — §11 del addendum. CTS Perú puede facturar en PEN a un cliente peruano y en USD a uno ecuatoriano.</t>
  </si>
  <si>
    <t xml:space="preserve">DEC-021</t>
  </si>
  <si>
    <t xml:space="preserve">Series y numeración correlativa por entidad legal</t>
  </si>
  <si>
    <t xml:space="preserve">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</si>
  <si>
    <t xml:space="preserve">DEC-020</t>
  </si>
  <si>
    <t xml:space="preserve">Entidad que factura vs. entidad que liquida al creador</t>
  </si>
  <si>
    <t xml:space="preserve">✅ DECIDIDA (2026-08-27) por DEC-156: opción C, y sin el «en el MVP». La sociedad de la campaña paga a todos sus creadores, sea cual sea el país de cada uno (BR-LE-009, ahora 🔴). Dónde se comprueba lo </t>
  </si>
  <si>
    <t xml:space="preserve">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</si>
  <si>
    <t xml:space="preserve">DEC-019</t>
  </si>
  <si>
    <t xml:space="preserve">Entidad legal explícita e inmutable en cada documento</t>
  </si>
  <si>
    <t xml:space="preserve">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</si>
  <si>
    <t xml:space="preserve">DEC-018</t>
  </si>
  <si>
    <t xml:space="preserve">Configuración jerárquica en cascada</t>
  </si>
  <si>
    <t xml:space="preserve">B, con dos condiciones no negociables: la interfaz debe mostrar siempre de dónde viene el valor efectivo, y los secretos se cifran por entidad y nunca se heredan. — La configuración deja de ser global: hay ajustes de plataforma, de marca, de entidad legal y de (entidad × país).</t>
  </si>
  <si>
    <t xml:space="preserve">DEC-017</t>
  </si>
  <si>
    <t xml:space="preserve">Cobertura de facturación como relación N:M con vigencia</t>
  </si>
  <si>
    <t xml:space="preserve">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</si>
  <si>
    <t xml:space="preserve">DEC-016</t>
  </si>
  <si>
    <t xml:space="preserve">Desambiguación de los conceptos organizacionales</t>
  </si>
  <si>
    <t xml:space="preserve">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</si>
  <si>
    <t xml:space="preserve">DEC-015</t>
  </si>
  <si>
    <t xml:space="preserve">Retención y minimización de datos personales</t>
  </si>
  <si>
    <t xml:space="preserve">PROPUESTA — requiere validación legal</t>
  </si>
  <si>
    <t xml:space="preserve">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</si>
  <si>
    <t xml:space="preserve">DEC-014</t>
  </si>
  <si>
    <t xml:space="preserve">Modelo de derechos de uso del contenido</t>
  </si>
  <si>
    <t xml:space="preserve">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</si>
  <si>
    <t xml:space="preserve">DEC-013</t>
  </si>
  <si>
    <t xml:space="preserve">Alcance del portal de la marca en el MVP</t>
  </si>
  <si>
    <t xml:space="preserve">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</si>
  <si>
    <t xml:space="preserve">DEC-012</t>
  </si>
  <si>
    <t xml:space="preserve">Longitud del formulario de lead B2B</t>
  </si>
  <si>
    <t xml:space="preserve">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</si>
  <si>
    <t xml:space="preserve">DEC-011</t>
  </si>
  <si>
    <t xml:space="preserve">¿La plataforma publica en las redes del creador?</t>
  </si>
  <si>
    <t xml:space="preserve">B. A añade riesgo de cuenta, complejidad enorme y las APIs cambian sin aviso. La verificación posterior aporta casi todo el valor con una fracción del costo. — Publicar automáticamente requiere permisos amplios, es frágil y las plataformas lo restringen.</t>
  </si>
  <si>
    <t xml:space="preserve">DEC-010</t>
  </si>
  <si>
    <t xml:space="preserve">Estado de campaña vs. estado de participación</t>
  </si>
  <si>
    <t xml:space="preserve">B, obligatoriamente. A es el error de diseño más frecuente y más caro en plataformas de este tipo: obliga a hacks inmediatos y hace imposible el reporte de avance. — Una campaña live puede tener creadores aún en revisión.</t>
  </si>
  <si>
    <t xml:space="preserve">DEC-009</t>
  </si>
  <si>
    <t xml:space="preserve">Origen de los datos de audiencia</t>
  </si>
  <si>
    <t xml:space="preserve">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</si>
  <si>
    <t xml:space="preserve">DEC-008</t>
  </si>
  <si>
    <t xml:space="preserve">Almacenamiento de archivos</t>
  </si>
  <si>
    <t xml:space="preserve">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</si>
  <si>
    <t xml:space="preserve">DEC-007</t>
  </si>
  <si>
    <t xml:space="preserve">Pasarela de pago (Culqi) en el MVP</t>
  </si>
  <si>
    <t xml:space="preserve">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</si>
  <si>
    <t xml:space="preserve">DEC-006</t>
  </si>
  <si>
    <t xml:space="preserve">Separación Aplicación vs. Creador</t>
  </si>
  <si>
    <t xml:space="preserve">B. Permite reaplicaciones, conserva el histórico de rechazos y evita que un rechazo contamine la entidad permanente. — La spec mezcla el ciclo de vida de la solicitud con el del creador.</t>
  </si>
  <si>
    <t xml:space="preserve">DEC-005</t>
  </si>
  <si>
    <t xml:space="preserve">Régimen legal y tributario del pago al creador ✅ RESUELTA (parcial)</t>
  </si>
  <si>
    <t xml:space="preserve">✅ APROBADA para creadores peruanos · 🔴 Q-33 abierta para extranjeros (bloquea F9 solo en ese caso)</t>
  </si>
  <si>
    <t xml:space="preserve">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</si>
  <si>
    <t xml:space="preserve">DEC-004</t>
  </si>
  <si>
    <t xml:space="preserve">Modelo económico: principal vs. comisión</t>
  </si>
  <si>
    <t xml:space="preserve">PROPUESTA — confirmar con el contador</t>
  </si>
  <si>
    <t xml:space="preserve">A, coherente con §53 de la especificación (Revenue − Creator Cost = Margen). Determina el modelo fiscal, contable y financiero completo. — ¿El operador vende la campaña y compra el contenido (reventa), o cobra una comisión sobre una transacción entre marca y creador?</t>
  </si>
  <si>
    <t xml:space="preserve">DEC-003</t>
  </si>
  <si>
    <t xml:space="preserve">Estrategia de frontend</t>
  </si>
  <si>
    <t xml:space="preserve">A. B duplica el trabajo y, sobre todo, duplica la autorización —el punto donde este sistema más se puede romper—. El portal del creador se entrega como PWA instalable con A. — Cuatro portales con necesidades distintas. Equipo pequeño.</t>
  </si>
  <si>
    <t xml:space="preserve">DEC-002</t>
  </si>
  <si>
    <t xml:space="preserve">Multitenancy ✅ RESUELTA</t>
  </si>
  <si>
    <t xml:space="preserve">✅ APROBADA (decisión del negocio, 2026-08-21)</t>
  </si>
  <si>
    <t xml:space="preserve"> — Hoy hay un solo operador. La spec contempla agencias y white-label a futuro (§78).</t>
  </si>
  <si>
    <t xml:space="preserve">DEC-001</t>
  </si>
  <si>
    <t xml:space="preserve">Framework PHP</t>
  </si>
  <si>
    <t xml:space="preserve">✅ APROBADA (2026-08-22). Proyecto creado: ver tools/bootstrap-laravel.ps1 y CONTRIBUTING.md</t>
  </si>
  <si>
    <t xml:space="preserve">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</si>
  <si>
    <t xml:space="preserve">DEC-000</t>
  </si>
  <si>
    <t xml:space="preserve">Nombre del producto y dominio ✅ RESUELTA</t>
  </si>
  <si>
    <t xml:space="preserve">✅ APROBADA (addendum 2026-08-21)</t>
  </si>
  <si>
    <t xml:space="preserve">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</si>
</sst>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
      <i val="true"/>
      <sz val="10"/>
      <name val="Arial"/>
      <family val="0"/>
      <charset val="1"/>
    </font>
    <font>
      <b val="true"/>
      <sz val="1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30"/>
    <col collapsed="false" customWidth="true" hidden="false" outlineLevel="0" max="3" min="3" style="1" width="16"/>
    <col collapsed="false" customWidth="true" hidden="false" outlineLevel="0" max="5" min="4" style="1" width="14"/>
  </cols>
  <sheetData>
    <row r="1" customFormat="false" ht="19.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15" hidden="false" customHeight="true" outlineLevel="0" collapsed="false">
      <c r="A5" s="5" t="s">
        <v>3</v>
      </c>
      <c r="B5" s="5" t="s">
        <v>4</v>
      </c>
    </row>
    <row r="6" customFormat="false" ht="15" hidden="false" customHeight="true" outlineLevel="0" collapsed="false">
      <c r="A6" s="1" t="s">
        <v>5</v>
      </c>
      <c r="B6" s="6" t="n">
        <f aca="false">IFERROR(SUMPRODUCT(Actividades!$H$2:$H$174,Actividades!$I$2:$I$174)/SUM(Actividades!$I$2:$I$174),0)</f>
        <v>0.401162790697674</v>
      </c>
    </row>
    <row r="7" customFormat="false" ht="15" hidden="false" customHeight="true" outlineLevel="0" collapsed="false">
      <c r="A7" s="1" t="s">
        <v>6</v>
      </c>
      <c r="B7" s="6" t="n">
        <f aca="false">IFERROR(SUMPRODUCT($B$22:$B$25,$C$22:$C$25)/SUM($C$22:$C$25),0)</f>
        <v>0.276375377011965</v>
      </c>
    </row>
    <row r="8" customFormat="false" ht="15" hidden="false" customHeight="true" outlineLevel="0" collapsed="false">
      <c r="A8" s="1" t="s">
        <v>7</v>
      </c>
      <c r="B8" s="7" t="n">
        <f aca="false">COUNTA(Actividades!$A$2:$A$174)</f>
        <v>173</v>
      </c>
    </row>
    <row r="9" customFormat="false" ht="15" hidden="false" customHeight="true" outlineLevel="0" collapsed="false">
      <c r="A9" s="1" t="s">
        <v>8</v>
      </c>
      <c r="B9" s="7" t="n">
        <f aca="false">SUM(Actividades!$I$2:$I$174)</f>
        <v>172</v>
      </c>
    </row>
    <row r="11" customFormat="false" ht="17.25" hidden="false" customHeight="true" outlineLevel="0" collapsed="false">
      <c r="A11" s="4" t="s">
        <v>9</v>
      </c>
    </row>
    <row r="12" customFormat="false" ht="15" hidden="false" customHeight="true" outlineLevel="0" collapsed="false">
      <c r="A12" s="5" t="s">
        <v>10</v>
      </c>
      <c r="B12" s="5" t="s">
        <v>11</v>
      </c>
      <c r="C12" s="5" t="s">
        <v>12</v>
      </c>
    </row>
    <row r="13" customFormat="false" ht="15" hidden="false" customHeight="true" outlineLevel="0" collapsed="false">
      <c r="A13" s="8" t="s">
        <v>13</v>
      </c>
      <c r="B13" s="1" t="n">
        <f aca="false">COUNTIF(Actividades!$G$2:$G$174,$A13)</f>
        <v>62</v>
      </c>
      <c r="C13" s="9" t="n">
        <f aca="false">IFERROR($B13/COUNTA(Actividades!$A$2:$A$174),0)</f>
        <v>0.358381502890173</v>
      </c>
    </row>
    <row r="14" customFormat="false" ht="15" hidden="false" customHeight="true" outlineLevel="0" collapsed="false">
      <c r="A14" s="10" t="s">
        <v>14</v>
      </c>
      <c r="B14" s="1" t="n">
        <f aca="false">COUNTIF(Actividades!$G$2:$G$174,$A14)</f>
        <v>14</v>
      </c>
      <c r="C14" s="9" t="n">
        <f aca="false">IFERROR($B14/COUNTA(Actividades!$A$2:$A$174),0)</f>
        <v>0.0809248554913295</v>
      </c>
    </row>
    <row r="15" customFormat="false" ht="15" hidden="false" customHeight="true" outlineLevel="0" collapsed="false">
      <c r="A15" s="11" t="s">
        <v>15</v>
      </c>
      <c r="B15" s="1" t="n">
        <f aca="false">COUNTIF(Actividades!$G$2:$G$174,$A15)</f>
        <v>96</v>
      </c>
      <c r="C15" s="9" t="n">
        <f aca="false">IFERROR($B15/COUNTA(Actividades!$A$2:$A$174),0)</f>
        <v>0.554913294797688</v>
      </c>
    </row>
    <row r="16" customFormat="false" ht="15" hidden="false" customHeight="true" outlineLevel="0" collapsed="false">
      <c r="A16" s="12" t="s">
        <v>16</v>
      </c>
      <c r="B16" s="1" t="n">
        <f aca="false">COUNTIF(Actividades!$G$2:$G$174,$A16)</f>
        <v>0</v>
      </c>
      <c r="C16" s="9" t="n">
        <f aca="false">IFERROR($B16/COUNTA(Actividades!$A$2:$A$174),0)</f>
        <v>0</v>
      </c>
    </row>
    <row r="17" customFormat="false" ht="15" hidden="false" customHeight="true" outlineLevel="0" collapsed="false">
      <c r="A17" s="13" t="s">
        <v>17</v>
      </c>
      <c r="B17" s="1" t="n">
        <f aca="false">COUNTIF(Actividades!$G$2:$G$174,$A17)</f>
        <v>1</v>
      </c>
      <c r="C17" s="9" t="n">
        <f aca="false">IFERROR($B17/COUNTA(Actividades!$A$2:$A$174),0)</f>
        <v>0.00578034682080925</v>
      </c>
    </row>
    <row r="18" customFormat="false" ht="15" hidden="false" customHeight="true" outlineLevel="0" collapsed="false">
      <c r="A18" s="14" t="s">
        <v>18</v>
      </c>
      <c r="B18" s="1" t="n">
        <f aca="false">COUNTIF(Actividades!$G$2:$G$174,$A18)</f>
        <v>0</v>
      </c>
      <c r="C18" s="9" t="n">
        <f aca="false">IFERROR($B18/COUNTA(Actividades!$A$2:$A$174),0)</f>
        <v>0</v>
      </c>
    </row>
    <row r="20" customFormat="false" ht="17.25" hidden="false" customHeight="true" outlineLevel="0" collapsed="false">
      <c r="A20" s="4" t="s">
        <v>19</v>
      </c>
    </row>
    <row r="21" customFormat="false" ht="15" hidden="false" customHeight="true" outlineLevel="0" collapsed="false">
      <c r="A21" s="5" t="s">
        <v>20</v>
      </c>
      <c r="B21" s="5" t="s">
        <v>21</v>
      </c>
      <c r="C21" s="5" t="s">
        <v>22</v>
      </c>
      <c r="D21" s="5" t="s">
        <v>23</v>
      </c>
      <c r="E21" s="5" t="s">
        <v>24</v>
      </c>
    </row>
    <row r="22" customFormat="false" ht="15" hidden="false" customHeight="true" outlineLevel="0" collapsed="false">
      <c r="A22" s="1" t="s">
        <v>25</v>
      </c>
      <c r="B22" s="9" t="n">
        <f aca="false">IFERROR(SUMPRODUCT((Actividades!$B$2:$B$174=$A22)*Actividades!$H$2:$H$174*Actividades!$I$2:$I$174)/SUMPRODUCT((Actividades!$B$2:$B$174=$A22)*Actividades!$I$2:$I$174),0)</f>
        <v>0.631578947368421</v>
      </c>
      <c r="C22" s="1" t="n">
        <v>8.5</v>
      </c>
      <c r="D22" s="1" t="n">
        <f aca="false">COUNTIF(Actividades!$B$2:$B$174,$A22)</f>
        <v>39</v>
      </c>
      <c r="E22" s="1" t="n">
        <f aca="false">SUMPRODUCT((Actividades!$B$2:$B$174=$A22)*(Actividades!$G$2:$G$174="Terminado"))</f>
        <v>20</v>
      </c>
    </row>
    <row r="23" customFormat="false" ht="15" hidden="false" customHeight="true" outlineLevel="0" collapsed="false">
      <c r="A23" s="1" t="s">
        <v>26</v>
      </c>
      <c r="B23" s="9" t="n">
        <f aca="false">IFERROR(SUMPRODUCT((Actividades!$B$2:$B$174=$A23)*Actividades!$H$2:$H$174*Actividades!$I$2:$I$174)/SUMPRODUCT((Actividades!$B$2:$B$174=$A23)*Actividades!$I$2:$I$174),0)</f>
        <v>0.54320987654321</v>
      </c>
      <c r="C23" s="1" t="n">
        <v>12</v>
      </c>
      <c r="D23" s="1" t="n">
        <f aca="false">COUNTIF(Actividades!$B$2:$B$174,$A23)</f>
        <v>81</v>
      </c>
      <c r="E23" s="1" t="n">
        <f aca="false">SUMPRODUCT((Actividades!$B$2:$B$174=$A23)*(Actividades!$G$2:$G$174="Terminado"))</f>
        <v>41</v>
      </c>
    </row>
    <row r="24" customFormat="false" ht="15" hidden="false" customHeight="true" outlineLevel="0" collapsed="false">
      <c r="A24" s="1" t="s">
        <v>27</v>
      </c>
      <c r="B24" s="9" t="n">
        <f aca="false">IFERROR(SUMPRODUCT((Actividades!$B$2:$B$174=$A24)*Actividades!$H$2:$H$174*Actividades!$I$2:$I$174)/SUMPRODUCT((Actividades!$B$2:$B$174=$A24)*Actividades!$I$2:$I$174),0)</f>
        <v>0.0294117647058824</v>
      </c>
      <c r="C24" s="1" t="n">
        <v>14</v>
      </c>
      <c r="D24" s="1" t="n">
        <f aca="false">COUNTIF(Actividades!$B$2:$B$174,$A24)</f>
        <v>34</v>
      </c>
      <c r="E24" s="1" t="n">
        <f aca="false">SUMPRODUCT((Actividades!$B$2:$B$174=$A24)*(Actividades!$G$2:$G$174="Terminado"))</f>
        <v>1</v>
      </c>
    </row>
    <row r="25" customFormat="false" ht="15" hidden="false" customHeight="true" outlineLevel="0" collapsed="false">
      <c r="A25" s="1" t="s">
        <v>28</v>
      </c>
      <c r="B25" s="9" t="n">
        <f aca="false">IFERROR(SUMPRODUCT((Actividades!$B$2:$B$174=$A25)*Actividades!$H$2:$H$174*Actividades!$I$2:$I$174)/SUMPRODUCT((Actividades!$B$2:$B$174=$A25)*Actividades!$I$2:$I$174),0)</f>
        <v>0</v>
      </c>
      <c r="C25" s="1" t="n">
        <v>10</v>
      </c>
      <c r="D25" s="1" t="n">
        <f aca="false">COUNTIF(Actividades!$B$2:$B$174,$A25)</f>
        <v>19</v>
      </c>
      <c r="E25" s="1" t="n">
        <f aca="false">SUMPRODUCT((Actividades!$B$2:$B$174=$A25)*(Actividades!$G$2:$G$174="Terminado"))</f>
        <v>0</v>
      </c>
    </row>
    <row r="27" customFormat="false" ht="17.25" hidden="false" customHeight="true" outlineLevel="0" collapsed="false">
      <c r="A27" s="4" t="s">
        <v>29</v>
      </c>
    </row>
    <row r="28" customFormat="false" ht="15" hidden="false" customHeight="true" outlineLevel="0" collapsed="false">
      <c r="A28" s="5" t="s">
        <v>30</v>
      </c>
      <c r="B28" s="5" t="s">
        <v>31</v>
      </c>
      <c r="C28" s="5" t="s">
        <v>21</v>
      </c>
      <c r="D28" s="5" t="s">
        <v>23</v>
      </c>
      <c r="E28" s="5" t="s">
        <v>24</v>
      </c>
    </row>
    <row r="29" customFormat="false" ht="15" hidden="false" customHeight="true" outlineLevel="0" collapsed="false">
      <c r="A29" s="1" t="s">
        <v>32</v>
      </c>
      <c r="B29" s="1" t="s">
        <v>33</v>
      </c>
      <c r="C29" s="9" t="n">
        <f aca="false">IFERROR(SUMPRODUCT((Actividades!$C$2:$C$174=$A29)*Actividades!$H$2:$H$174*Actividades!$I$2:$I$174)/SUMPRODUCT((Actividades!$C$2:$C$174=$A29)*Actividades!$I$2:$I$174),0)</f>
        <v>1</v>
      </c>
      <c r="D29" s="1" t="n">
        <f aca="false">COUNTIF(Actividades!$C$2:$C$174,$A29)</f>
        <v>1</v>
      </c>
      <c r="E29" s="1" t="n">
        <f aca="false">SUMPRODUCT((Actividades!$C$2:$C$174=$A29)*(Actividades!$G$2:$G$174="Terminado"))</f>
        <v>1</v>
      </c>
    </row>
    <row r="30" customFormat="false" ht="15" hidden="false" customHeight="true" outlineLevel="0" collapsed="false">
      <c r="A30" s="1" t="s">
        <v>34</v>
      </c>
      <c r="B30" s="1" t="s">
        <v>35</v>
      </c>
      <c r="C30" s="9" t="n">
        <f aca="false">IFERROR(SUMPRODUCT((Actividades!$C$2:$C$174=$A30)*Actividades!$H$2:$H$174*Actividades!$I$2:$I$174)/SUMPRODUCT((Actividades!$C$2:$C$174=$A30)*Actividades!$I$2:$I$174),0)</f>
        <v>0.875</v>
      </c>
      <c r="D30" s="1" t="n">
        <f aca="false">COUNTIF(Actividades!$C$2:$C$174,$A30)</f>
        <v>4</v>
      </c>
      <c r="E30" s="1" t="n">
        <f aca="false">SUMPRODUCT((Actividades!$C$2:$C$174=$A30)*(Actividades!$G$2:$G$174="Terminado"))</f>
        <v>3</v>
      </c>
    </row>
    <row r="31" customFormat="false" ht="15" hidden="false" customHeight="true" outlineLevel="0" collapsed="false">
      <c r="A31" s="1" t="s">
        <v>36</v>
      </c>
      <c r="B31" s="1" t="s">
        <v>37</v>
      </c>
      <c r="C31" s="9" t="n">
        <f aca="false">IFERROR(SUMPRODUCT((Actividades!$C$2:$C$174=$A31)*Actividades!$H$2:$H$174*Actividades!$I$2:$I$174)/SUMPRODUCT((Actividades!$C$2:$C$174=$A31)*Actividades!$I$2:$I$174),0)</f>
        <v>0.8</v>
      </c>
      <c r="D31" s="1" t="n">
        <f aca="false">COUNTIF(Actividades!$C$2:$C$174,$A31)</f>
        <v>11</v>
      </c>
      <c r="E31" s="1" t="n">
        <f aca="false">SUMPRODUCT((Actividades!$C$2:$C$174=$A31)*(Actividades!$G$2:$G$174="Terminado"))</f>
        <v>7</v>
      </c>
    </row>
    <row r="32" customFormat="false" ht="15" hidden="false" customHeight="true" outlineLevel="0" collapsed="false">
      <c r="A32" s="1" t="s">
        <v>38</v>
      </c>
      <c r="B32" s="1" t="s">
        <v>39</v>
      </c>
      <c r="C32" s="9" t="n">
        <f aca="false">IFERROR(SUMPRODUCT((Actividades!$C$2:$C$174=$A32)*Actividades!$H$2:$H$174*Actividades!$I$2:$I$174)/SUMPRODUCT((Actividades!$C$2:$C$174=$A32)*Actividades!$I$2:$I$174),0)</f>
        <v>0.428571428571429</v>
      </c>
      <c r="D32" s="1" t="n">
        <f aca="false">COUNTIF(Actividades!$C$2:$C$174,$A32)</f>
        <v>7</v>
      </c>
      <c r="E32" s="1" t="n">
        <f aca="false">SUMPRODUCT((Actividades!$C$2:$C$174=$A32)*(Actividades!$G$2:$G$174="Terminado"))</f>
        <v>2</v>
      </c>
    </row>
    <row r="33" customFormat="false" ht="15" hidden="false" customHeight="true" outlineLevel="0" collapsed="false">
      <c r="A33" s="1" t="s">
        <v>40</v>
      </c>
      <c r="B33" s="1" t="s">
        <v>41</v>
      </c>
      <c r="C33" s="9" t="n">
        <f aca="false">IFERROR(SUMPRODUCT((Actividades!$C$2:$C$174=$A33)*Actividades!$H$2:$H$174*Actividades!$I$2:$I$174)/SUMPRODUCT((Actividades!$C$2:$C$174=$A33)*Actividades!$I$2:$I$174),0)</f>
        <v>0.53125</v>
      </c>
      <c r="D33" s="1" t="n">
        <f aca="false">COUNTIF(Actividades!$C$2:$C$174,$A33)</f>
        <v>16</v>
      </c>
      <c r="E33" s="1" t="n">
        <f aca="false">SUMPRODUCT((Actividades!$C$2:$C$174=$A33)*(Actividades!$G$2:$G$174="Terminado"))</f>
        <v>7</v>
      </c>
    </row>
    <row r="34" customFormat="false" ht="15" hidden="false" customHeight="true" outlineLevel="0" collapsed="false">
      <c r="A34" s="1" t="s">
        <v>42</v>
      </c>
      <c r="B34" s="1" t="s">
        <v>43</v>
      </c>
      <c r="C34" s="9" t="n">
        <f aca="false">IFERROR(SUMPRODUCT((Actividades!$C$2:$C$174=$A34)*Actividades!$H$2:$H$174*Actividades!$I$2:$I$174)/SUMPRODUCT((Actividades!$C$2:$C$174=$A34)*Actividades!$I$2:$I$174),0)</f>
        <v>0.545454545454545</v>
      </c>
      <c r="D34" s="1" t="n">
        <f aca="false">COUNTIF(Actividades!$C$2:$C$174,$A34)</f>
        <v>11</v>
      </c>
      <c r="E34" s="1" t="n">
        <f aca="false">SUMPRODUCT((Actividades!$C$2:$C$174=$A34)*(Actividades!$G$2:$G$174="Terminado"))</f>
        <v>4</v>
      </c>
    </row>
    <row r="35" customFormat="false" ht="15" hidden="false" customHeight="true" outlineLevel="0" collapsed="false">
      <c r="A35" s="1" t="s">
        <v>44</v>
      </c>
      <c r="B35" s="1" t="s">
        <v>45</v>
      </c>
      <c r="C35" s="9" t="n">
        <f aca="false">IFERROR(SUMPRODUCT((Actividades!$C$2:$C$174=$A35)*Actividades!$H$2:$H$174*Actividades!$I$2:$I$174)/SUMPRODUCT((Actividades!$C$2:$C$174=$A35)*Actividades!$I$2:$I$174),0)</f>
        <v>0.0555555555555556</v>
      </c>
      <c r="D35" s="1" t="n">
        <f aca="false">COUNTIF(Actividades!$C$2:$C$174,$A35)</f>
        <v>9</v>
      </c>
      <c r="E35" s="1" t="n">
        <f aca="false">SUMPRODUCT((Actividades!$C$2:$C$174=$A35)*(Actividades!$G$2:$G$174="Terminado"))</f>
        <v>0</v>
      </c>
    </row>
    <row r="36" customFormat="false" ht="15" hidden="false" customHeight="true" outlineLevel="0" collapsed="false">
      <c r="A36" s="1" t="s">
        <v>46</v>
      </c>
      <c r="B36" s="1" t="s">
        <v>47</v>
      </c>
      <c r="C36" s="9" t="n">
        <f aca="false">IFERROR(SUMPRODUCT((Actividades!$C$2:$C$174=$A36)*Actividades!$H$2:$H$174*Actividades!$I$2:$I$174)/SUMPRODUCT((Actividades!$C$2:$C$174=$A36)*Actividades!$I$2:$I$174),0)</f>
        <v>0.607142857142857</v>
      </c>
      <c r="D36" s="1" t="n">
        <f aca="false">COUNTIF(Actividades!$C$2:$C$174,$A36)</f>
        <v>14</v>
      </c>
      <c r="E36" s="1" t="n">
        <f aca="false">SUMPRODUCT((Actividades!$C$2:$C$174=$A36)*(Actividades!$G$2:$G$174="Terminado"))</f>
        <v>8</v>
      </c>
    </row>
    <row r="37" customFormat="false" ht="15" hidden="false" customHeight="true" outlineLevel="0" collapsed="false">
      <c r="A37" s="1" t="s">
        <v>48</v>
      </c>
      <c r="B37" s="1" t="s">
        <v>49</v>
      </c>
      <c r="C37" s="9" t="n">
        <f aca="false">IFERROR(SUMPRODUCT((Actividades!$C$2:$C$174=$A37)*Actividades!$H$2:$H$174*Actividades!$I$2:$I$174)/SUMPRODUCT((Actividades!$C$2:$C$174=$A37)*Actividades!$I$2:$I$174),0)</f>
        <v>0.846153846153846</v>
      </c>
      <c r="D37" s="1" t="n">
        <f aca="false">COUNTIF(Actividades!$C$2:$C$174,$A37)</f>
        <v>13</v>
      </c>
      <c r="E37" s="1" t="n">
        <f aca="false">SUMPRODUCT((Actividades!$C$2:$C$174=$A37)*(Actividades!$G$2:$G$174="Terminado"))</f>
        <v>11</v>
      </c>
    </row>
    <row r="38" customFormat="false" ht="15" hidden="false" customHeight="true" outlineLevel="0" collapsed="false">
      <c r="A38" s="1" t="s">
        <v>50</v>
      </c>
      <c r="B38" s="1" t="s">
        <v>51</v>
      </c>
      <c r="C38" s="9" t="n">
        <f aca="false">IFERROR(SUMPRODUCT((Actividades!$C$2:$C$174=$A38)*Actividades!$H$2:$H$174*Actividades!$I$2:$I$174)/SUMPRODUCT((Actividades!$C$2:$C$174=$A38)*Actividades!$I$2:$I$174),0)</f>
        <v>0.72</v>
      </c>
      <c r="D38" s="1" t="n">
        <f aca="false">COUNTIF(Actividades!$C$2:$C$174,$A38)</f>
        <v>25</v>
      </c>
      <c r="E38" s="1" t="n">
        <f aca="false">SUMPRODUCT((Actividades!$C$2:$C$174=$A38)*(Actividades!$G$2:$G$174="Terminado"))</f>
        <v>18</v>
      </c>
    </row>
    <row r="39" customFormat="false" ht="15" hidden="false" customHeight="true" outlineLevel="0" collapsed="false">
      <c r="A39" s="1" t="s">
        <v>52</v>
      </c>
      <c r="B39" s="1" t="s">
        <v>53</v>
      </c>
      <c r="C39" s="9" t="n">
        <f aca="false">IFERROR(SUMPRODUCT((Actividades!$C$2:$C$174=$A39)*Actividades!$H$2:$H$174*Actividades!$I$2:$I$174)/SUMPRODUCT((Actividades!$C$2:$C$174=$A39)*Actividades!$I$2:$I$174),0)</f>
        <v>0</v>
      </c>
      <c r="D39" s="1" t="n">
        <f aca="false">COUNTIF(Actividades!$C$2:$C$174,$A39)</f>
        <v>9</v>
      </c>
      <c r="E39" s="1" t="n">
        <f aca="false">SUMPRODUCT((Actividades!$C$2:$C$174=$A39)*(Actividades!$G$2:$G$174="Terminado"))</f>
        <v>0</v>
      </c>
    </row>
    <row r="40" customFormat="false" ht="15" hidden="false" customHeight="true" outlineLevel="0" collapsed="false">
      <c r="A40" s="1" t="s">
        <v>54</v>
      </c>
      <c r="B40" s="1" t="s">
        <v>55</v>
      </c>
      <c r="C40" s="9" t="n">
        <f aca="false">IFERROR(SUMPRODUCT((Actividades!$C$2:$C$174=$A40)*Actividades!$H$2:$H$174*Actividades!$I$2:$I$174)/SUMPRODUCT((Actividades!$C$2:$C$174=$A40)*Actividades!$I$2:$I$174),0)</f>
        <v>0.111111111111111</v>
      </c>
      <c r="D40" s="1" t="n">
        <f aca="false">COUNTIF(Actividades!$C$2:$C$174,$A40)</f>
        <v>9</v>
      </c>
      <c r="E40" s="1" t="n">
        <f aca="false">SUMPRODUCT((Actividades!$C$2:$C$174=$A40)*(Actividades!$G$2:$G$174="Terminado"))</f>
        <v>1</v>
      </c>
    </row>
    <row r="41" customFormat="false" ht="15" hidden="false" customHeight="true" outlineLevel="0" collapsed="false">
      <c r="A41" s="1" t="s">
        <v>56</v>
      </c>
      <c r="B41" s="1" t="s">
        <v>57</v>
      </c>
      <c r="C41" s="9" t="n">
        <f aca="false">IFERROR(SUMPRODUCT((Actividades!$C$2:$C$174=$A41)*Actividades!$H$2:$H$174*Actividades!$I$2:$I$174)/SUMPRODUCT((Actividades!$C$2:$C$174=$A41)*Actividades!$I$2:$I$174),0)</f>
        <v>0</v>
      </c>
      <c r="D41" s="1" t="n">
        <f aca="false">COUNTIF(Actividades!$C$2:$C$174,$A41)</f>
        <v>9</v>
      </c>
      <c r="E41" s="1" t="n">
        <f aca="false">SUMPRODUCT((Actividades!$C$2:$C$174=$A41)*(Actividades!$G$2:$G$174="Terminado"))</f>
        <v>0</v>
      </c>
    </row>
    <row r="42" customFormat="false" ht="15" hidden="false" customHeight="true" outlineLevel="0" collapsed="false">
      <c r="A42" s="1" t="s">
        <v>58</v>
      </c>
      <c r="B42" s="1" t="s">
        <v>59</v>
      </c>
      <c r="C42" s="9" t="n">
        <f aca="false">IFERROR(SUMPRODUCT((Actividades!$C$2:$C$174=$A42)*Actividades!$H$2:$H$174*Actividades!$I$2:$I$174)/SUMPRODUCT((Actividades!$C$2:$C$174=$A42)*Actividades!$I$2:$I$174),0)</f>
        <v>0</v>
      </c>
      <c r="D42" s="1" t="n">
        <f aca="false">COUNTIF(Actividades!$C$2:$C$174,$A42)</f>
        <v>7</v>
      </c>
      <c r="E42" s="1" t="n">
        <f aca="false">SUMPRODUCT((Actividades!$C$2:$C$174=$A42)*(Actividades!$G$2:$G$174="Terminado"))</f>
        <v>0</v>
      </c>
    </row>
    <row r="43" customFormat="false" ht="15" hidden="false" customHeight="true" outlineLevel="0" collapsed="false">
      <c r="A43" s="1" t="s">
        <v>60</v>
      </c>
      <c r="B43" s="1" t="s">
        <v>61</v>
      </c>
      <c r="C43" s="9" t="n">
        <f aca="false">IFERROR(SUMPRODUCT((Actividades!$C$2:$C$174=$A43)*Actividades!$H$2:$H$174*Actividades!$I$2:$I$174)/SUMPRODUCT((Actividades!$C$2:$C$174=$A43)*Actividades!$I$2:$I$174),0)</f>
        <v>0</v>
      </c>
      <c r="D43" s="1" t="n">
        <f aca="false">COUNTIF(Actividades!$C$2:$C$174,$A43)</f>
        <v>9</v>
      </c>
      <c r="E43" s="1" t="n">
        <f aca="false">SUMPRODUCT((Actividades!$C$2:$C$174=$A43)*(Actividades!$G$2:$G$174="Terminado"))</f>
        <v>0</v>
      </c>
    </row>
    <row r="44" customFormat="false" ht="15" hidden="false" customHeight="true" outlineLevel="0" collapsed="false">
      <c r="A44" s="1" t="s">
        <v>62</v>
      </c>
      <c r="B44" s="1" t="s">
        <v>63</v>
      </c>
      <c r="C44" s="9" t="n">
        <f aca="false">IFERROR(SUMPRODUCT((Actividades!$C$2:$C$174=$A44)*Actividades!$H$2:$H$174*Actividades!$I$2:$I$174)/SUMPRODUCT((Actividades!$C$2:$C$174=$A44)*Actividades!$I$2:$I$174),0)</f>
        <v>0</v>
      </c>
      <c r="D44" s="1" t="n">
        <f aca="false">COUNTIF(Actividades!$C$2:$C$174,$A44)</f>
        <v>9</v>
      </c>
      <c r="E44" s="1" t="n">
        <f aca="false">SUMPRODUCT((Actividades!$C$2:$C$174=$A44)*(Actividades!$G$2:$G$174="Terminado"))</f>
        <v>0</v>
      </c>
    </row>
    <row r="45" customFormat="false" ht="15" hidden="false" customHeight="true" outlineLevel="0" collapsed="false">
      <c r="A45" s="1" t="s">
        <v>64</v>
      </c>
      <c r="B45" s="1" t="s">
        <v>65</v>
      </c>
      <c r="C45" s="9" t="n">
        <f aca="false">IFERROR(SUMPRODUCT((Actividades!$C$2:$C$174=$A45)*Actividades!$H$2:$H$174*Actividades!$I$2:$I$174)/SUMPRODUCT((Actividades!$C$2:$C$174=$A45)*Actividades!$I$2:$I$174),0)</f>
        <v>0</v>
      </c>
      <c r="D45" s="1" t="n">
        <f aca="false">COUNTIF(Actividades!$C$2:$C$174,$A45)</f>
        <v>7</v>
      </c>
      <c r="E45" s="1" t="n">
        <f aca="false">SUMPRODUCT((Actividades!$C$2:$C$174=$A45)*(Actividades!$G$2:$G$174="Terminado"))</f>
        <v>0</v>
      </c>
    </row>
    <row r="46" customFormat="false" ht="15" hidden="false" customHeight="true" outlineLevel="0" collapsed="false">
      <c r="A46" s="1" t="s">
        <v>66</v>
      </c>
      <c r="B46" s="1" t="s">
        <v>67</v>
      </c>
      <c r="C46" s="9" t="n">
        <f aca="false">IFERROR(SUMPRODUCT((Actividades!$C$2:$C$174=$A46)*Actividades!$H$2:$H$174*Actividades!$I$2:$I$174)/SUMPRODUCT((Actividades!$C$2:$C$174=$A46)*Actividades!$I$2:$I$174),0)</f>
        <v>0</v>
      </c>
      <c r="D46" s="1" t="n">
        <f aca="false">COUNTIF(Actividades!$C$2:$C$174,$A46)</f>
        <v>3</v>
      </c>
      <c r="E46" s="1" t="n">
        <f aca="false">SUMPRODUCT((Actividades!$C$2:$C$174=$A46)*(Actividades!$G$2:$G$174="Terminado"))</f>
        <v>0</v>
      </c>
    </row>
    <row r="48" customFormat="false" ht="17.25" hidden="false" customHeight="true" outlineLevel="0" collapsed="false">
      <c r="A48" s="4"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row r="54" customFormat="false" ht="34.5" hidden="false" customHeight="true" outlineLevel="0" collapsed="false">
      <c r="A54" s="16" t="s">
        <v>74</v>
      </c>
    </row>
    <row r="55" customFormat="false" ht="34.5" hidden="false" customHeight="true" outlineLevel="0" collapsed="false">
      <c r="A55" s="16" t="s">
        <v>75</v>
      </c>
    </row>
    <row r="57" customFormat="false" ht="15" hidden="false" customHeight="true" outlineLevel="0" collapsed="false">
      <c r="A57" s="17" t="s">
        <v>76</v>
      </c>
    </row>
    <row r="58" customFormat="false" ht="15" hidden="false" customHeight="true" outlineLevel="0" collapsed="false">
      <c r="A58" s="18" t="s">
        <v>77</v>
      </c>
      <c r="B58" s="18" t="s">
        <v>78</v>
      </c>
      <c r="C58" s="18" t="s">
        <v>79</v>
      </c>
    </row>
    <row r="59" customFormat="false" ht="15" hidden="false" customHeight="true" outlineLevel="0" collapsed="false">
      <c r="A59" s="19" t="s">
        <v>80</v>
      </c>
      <c r="B59" s="1" t="n">
        <f aca="false">COUNTIF(Tareas!$B$3:$B$65,"Abierta")</f>
        <v>12</v>
      </c>
      <c r="C59" s="1" t="n">
        <v>63</v>
      </c>
    </row>
    <row r="60" customFormat="false" ht="15" hidden="false" customHeight="true" outlineLevel="0" collapsed="false">
      <c r="A60" s="19" t="s">
        <v>81</v>
      </c>
      <c r="B60" s="1" t="n">
        <f aca="false">COUNTIF(Preguntas!$B$3:$B$60,"Abierta")</f>
        <v>14</v>
      </c>
      <c r="C60" s="1" t="n">
        <v>58</v>
      </c>
    </row>
    <row r="61" customFormat="false" ht="15" hidden="false" customHeight="true" outlineLevel="0" collapsed="false">
      <c r="A61" s="19" t="s">
        <v>82</v>
      </c>
      <c r="B61" s="1" t="n">
        <f aca="false">COUNTIFS(Preguntas!$B$3:$B$60,"Abierta",Preguntas!$C$3:$C$60,"Critica")+COUNTIFS(Tareas!$B$3:$B$65,"Abierta",Tareas!$C$3:$C$65,"Critica")</f>
        <v>2</v>
      </c>
    </row>
    <row r="62" customFormat="false" ht="15" hidden="false" customHeight="true" outlineLevel="0" collapsed="false">
      <c r="A62" s="19" t="s">
        <v>83</v>
      </c>
      <c r="B62" s="1" t="n">
        <f aca="false">COUNTIF(Decisiones!$B$3:$B$201,"Propuesta")</f>
        <v>21</v>
      </c>
      <c r="C62" s="1" t="n">
        <v>199</v>
      </c>
    </row>
    <row r="63" customFormat="false" ht="15" hidden="false" customHeight="true" outlineLevel="0" collapsed="false">
      <c r="A63" s="19"/>
    </row>
    <row r="64" customFormat="false" ht="15" hidden="false" customHeight="true" outlineLevel="0" collapsed="false">
      <c r="A64" s="19" t="s">
        <v>84</v>
      </c>
    </row>
    <row r="65" customFormat="false" ht="15" hidden="false" customHeight="true" outlineLevel="0" collapsed="false">
      <c r="A65" s="17" t="s">
        <v>85</v>
      </c>
    </row>
    <row r="66" customFormat="false" ht="15" hidden="false" customHeight="true" outlineLevel="0" collapsed="false">
      <c r="A66" s="18" t="s">
        <v>77</v>
      </c>
      <c r="B66" s="18" t="s">
        <v>78</v>
      </c>
      <c r="C66" s="18" t="s">
        <v>79</v>
      </c>
    </row>
    <row r="67" customFormat="false" ht="15" hidden="false" customHeight="true" outlineLevel="0" collapsed="false">
      <c r="A67" s="19" t="s">
        <v>80</v>
      </c>
      <c r="B67" s="1" t="n">
        <f aca="false">COUNTIF(Tareas!$B$3:$B$62,"Abierta")</f>
        <v>12</v>
      </c>
      <c r="C67" s="1" t="n">
        <v>60</v>
      </c>
    </row>
    <row r="68" customFormat="false" ht="15" hidden="false" customHeight="true" outlineLevel="0" collapsed="false">
      <c r="A68" s="19" t="s">
        <v>81</v>
      </c>
      <c r="B68" s="1" t="n">
        <f aca="false">COUNTIF(Preguntas!$B$3:$B$60,"Abierta")</f>
        <v>14</v>
      </c>
      <c r="C68" s="1" t="n">
        <v>58</v>
      </c>
    </row>
    <row r="69" customFormat="false" ht="15" hidden="false" customHeight="true" outlineLevel="0" collapsed="false">
      <c r="A69" s="19" t="s">
        <v>86</v>
      </c>
      <c r="B69" s="1" t="n">
        <f aca="false">COUNTIFS(Preguntas!$B$3:$B$60,"Abierta",Preguntas!$C$3:$C$60,"Critica")+COUNTIFS(Tareas!$B$3:$B$62,"Abierta",Tareas!$C$3:$C$62,"Critica")</f>
        <v>2</v>
      </c>
    </row>
    <row r="70" customFormat="false" ht="15" hidden="false" customHeight="true" outlineLevel="0" collapsed="false">
      <c r="A70" s="19"/>
    </row>
    <row r="71" customFormat="false" ht="15" hidden="false" customHeight="true" outlineLevel="0" collapsed="false">
      <c r="A71" s="19" t="s">
        <v>87</v>
      </c>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95"/>
  </cols>
  <sheetData>
    <row r="1" customFormat="false" ht="15" hidden="false" customHeight="true" outlineLevel="0" collapsed="false">
      <c r="A1" s="20" t="s">
        <v>88</v>
      </c>
    </row>
    <row r="2" customFormat="false" ht="15" hidden="false" customHeight="true" outlineLevel="0" collapsed="false">
      <c r="A2" s="18" t="s">
        <v>10</v>
      </c>
      <c r="B2" s="18" t="s">
        <v>89</v>
      </c>
      <c r="C2" s="18" t="s">
        <v>90</v>
      </c>
      <c r="D2" s="18" t="s">
        <v>91</v>
      </c>
    </row>
    <row r="3" customFormat="false" ht="15" hidden="false" customHeight="true" outlineLevel="0" collapsed="false">
      <c r="A3" s="19" t="s">
        <v>13</v>
      </c>
      <c r="B3" s="21" t="n">
        <v>1</v>
      </c>
      <c r="C3" s="19" t="n">
        <v>1</v>
      </c>
      <c r="D3" s="19" t="s">
        <v>92</v>
      </c>
    </row>
    <row r="4" customFormat="false" ht="15" hidden="false" customHeight="true" outlineLevel="0" collapsed="false">
      <c r="A4" s="19" t="s">
        <v>14</v>
      </c>
      <c r="B4" s="21" t="n">
        <v>0.5</v>
      </c>
      <c r="C4" s="19" t="n">
        <v>1</v>
      </c>
      <c r="D4" s="19" t="s">
        <v>93</v>
      </c>
    </row>
    <row r="5" customFormat="false" ht="15" hidden="false" customHeight="true" outlineLevel="0" collapsed="false">
      <c r="A5" s="19" t="s">
        <v>15</v>
      </c>
      <c r="B5" s="21" t="n">
        <v>0</v>
      </c>
      <c r="C5" s="19" t="n">
        <v>1</v>
      </c>
      <c r="D5" s="19" t="s">
        <v>94</v>
      </c>
    </row>
    <row r="6" customFormat="false" ht="15" hidden="false" customHeight="true" outlineLevel="0" collapsed="false">
      <c r="A6" s="19" t="s">
        <v>16</v>
      </c>
      <c r="B6" s="21" t="n">
        <v>0</v>
      </c>
      <c r="C6" s="19" t="n">
        <v>1</v>
      </c>
      <c r="D6" s="19" t="s">
        <v>95</v>
      </c>
    </row>
    <row r="7" customFormat="false" ht="15" hidden="false" customHeight="true" outlineLevel="0" collapsed="false">
      <c r="A7" s="19" t="s">
        <v>17</v>
      </c>
      <c r="B7" s="21" t="n">
        <v>0</v>
      </c>
      <c r="C7" s="19" t="n">
        <v>0</v>
      </c>
      <c r="D7" s="19" t="s">
        <v>96</v>
      </c>
    </row>
    <row r="8" customFormat="false" ht="15" hidden="false" customHeight="true" outlineLevel="0" collapsed="false">
      <c r="A8" s="19" t="s">
        <v>18</v>
      </c>
      <c r="B8" s="21" t="n">
        <v>0</v>
      </c>
      <c r="C8" s="19" t="n">
        <v>0</v>
      </c>
      <c r="D8" s="19" t="s">
        <v>97</v>
      </c>
    </row>
    <row r="9" customFormat="false" ht="15" hidden="false" customHeight="true" outlineLevel="0" collapsed="false">
      <c r="A9" s="19"/>
      <c r="B9" s="19"/>
      <c r="C9" s="19"/>
      <c r="D9" s="19"/>
    </row>
    <row r="10" customFormat="false" ht="15" hidden="false" customHeight="true" outlineLevel="0" collapsed="false">
      <c r="A10" s="19"/>
      <c r="B10" s="19"/>
      <c r="C10" s="19"/>
      <c r="D10" s="19"/>
    </row>
    <row r="11" customFormat="false" ht="15" hidden="false" customHeight="true" outlineLevel="0" collapsed="false">
      <c r="A11" s="20" t="s">
        <v>98</v>
      </c>
    </row>
    <row r="12" customFormat="false" ht="15" hidden="false" customHeight="true" outlineLevel="0" collapsed="false">
      <c r="A12" s="18" t="s">
        <v>20</v>
      </c>
      <c r="B12" s="18" t="s">
        <v>99</v>
      </c>
      <c r="C12" s="18" t="s">
        <v>100</v>
      </c>
      <c r="D12" s="18"/>
    </row>
    <row r="13" customFormat="false" ht="15" hidden="false" customHeight="true" outlineLevel="0" collapsed="false">
      <c r="A13" s="19" t="s">
        <v>25</v>
      </c>
      <c r="B13" s="19" t="n">
        <v>8.5</v>
      </c>
      <c r="C13" s="19" t="s">
        <v>101</v>
      </c>
      <c r="D13" s="19"/>
    </row>
    <row r="14" customFormat="false" ht="15" hidden="false" customHeight="true" outlineLevel="0" collapsed="false">
      <c r="A14" s="19" t="s">
        <v>26</v>
      </c>
      <c r="B14" s="19" t="n">
        <v>12</v>
      </c>
      <c r="C14" s="19" t="s">
        <v>102</v>
      </c>
      <c r="D14" s="19"/>
    </row>
    <row r="15" customFormat="false" ht="15" hidden="false" customHeight="true" outlineLevel="0" collapsed="false">
      <c r="A15" s="19" t="s">
        <v>27</v>
      </c>
      <c r="B15" s="19" t="n">
        <v>14</v>
      </c>
      <c r="C15" s="19" t="s">
        <v>103</v>
      </c>
      <c r="D15" s="19"/>
    </row>
    <row r="16" customFormat="false" ht="15" hidden="false" customHeight="true" outlineLevel="0" collapsed="false">
      <c r="A16" s="19" t="s">
        <v>28</v>
      </c>
      <c r="B16" s="19" t="n">
        <v>10</v>
      </c>
      <c r="C16" s="19" t="s">
        <v>104</v>
      </c>
      <c r="D16" s="19"/>
    </row>
    <row r="17" customFormat="false" ht="15" hidden="false" customHeight="true" outlineLevel="0" collapsed="false">
      <c r="A17" s="19"/>
      <c r="B17" s="19"/>
      <c r="C17" s="19"/>
      <c r="D17" s="19"/>
    </row>
    <row r="18" customFormat="false" ht="15" hidden="false" customHeight="true" outlineLevel="0" collapsed="false">
      <c r="A18" s="19"/>
      <c r="B18" s="19"/>
      <c r="C18" s="19"/>
      <c r="D18" s="19"/>
    </row>
    <row r="19" customFormat="false" ht="15" hidden="false" customHeight="true" outlineLevel="0" collapsed="false">
      <c r="A19" s="22"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
    <col collapsed="false" customWidth="true" hidden="false" outlineLevel="0" max="4" min="4" style="1" width="26"/>
    <col collapsed="false" customWidth="true" hidden="false" outlineLevel="0" max="5" min="5" style="1" width="7"/>
    <col collapsed="false" customWidth="true" hidden="false" outlineLevel="0" max="6" min="6" style="1" width="62"/>
    <col collapsed="false" customWidth="true" hidden="false" outlineLevel="0" max="7" min="7" style="1" width="14"/>
    <col collapsed="false" customWidth="true" hidden="false" outlineLevel="0" max="8" min="8" style="1" width="10"/>
    <col collapsed="false" customWidth="true" hidden="false" outlineLevel="0" max="9" min="9" style="1" width="9"/>
    <col collapsed="false" customWidth="true" hidden="false" outlineLevel="0" max="10" min="10" style="1" width="85"/>
  </cols>
  <sheetData>
    <row r="1" customFormat="false" ht="24" hidden="false" customHeight="true" outlineLevel="0" collapsed="false">
      <c r="A1" s="5" t="s">
        <v>106</v>
      </c>
      <c r="B1" s="5" t="s">
        <v>20</v>
      </c>
      <c r="C1" s="5" t="s">
        <v>30</v>
      </c>
      <c r="D1" s="5" t="s">
        <v>107</v>
      </c>
      <c r="E1" s="5" t="s">
        <v>108</v>
      </c>
      <c r="F1" s="5" t="s">
        <v>109</v>
      </c>
      <c r="G1" s="5" t="s">
        <v>10</v>
      </c>
      <c r="H1" s="5" t="s">
        <v>21</v>
      </c>
      <c r="I1" s="5" t="s">
        <v>110</v>
      </c>
      <c r="J1" s="5" t="s">
        <v>111</v>
      </c>
    </row>
    <row r="2" customFormat="false" ht="23.25" hidden="false" customHeight="true" outlineLevel="0" collapsed="false">
      <c r="A2" s="23" t="n">
        <v>1</v>
      </c>
      <c r="B2" s="23" t="s">
        <v>25</v>
      </c>
      <c r="C2" s="23" t="s">
        <v>32</v>
      </c>
      <c r="D2" s="23" t="s">
        <v>33</v>
      </c>
      <c r="E2" s="24" t="s">
        <v>112</v>
      </c>
      <c r="F2" s="25" t="s">
        <v>113</v>
      </c>
      <c r="G2" s="26" t="s">
        <v>13</v>
      </c>
      <c r="H2" s="27" t="n">
        <f aca="false">IFERROR(INDEX(Config!$B$3:$B$8,MATCH($G2,Config!$A$3:$A$8,0)),0)</f>
        <v>1</v>
      </c>
      <c r="I2" s="28" t="n">
        <f aca="false">IFERROR(INDEX(Config!$C$3:$C$8,MATCH($G2,Config!$A$3:$A$8,0)),0)</f>
        <v>1</v>
      </c>
      <c r="J2" s="25" t="s">
        <v>114</v>
      </c>
    </row>
    <row r="3" customFormat="false" ht="23.25" hidden="false" customHeight="true" outlineLevel="0" collapsed="false">
      <c r="A3" s="23" t="n">
        <v>2</v>
      </c>
      <c r="B3" s="23" t="s">
        <v>25</v>
      </c>
      <c r="C3" s="23" t="s">
        <v>34</v>
      </c>
      <c r="D3" s="23" t="s">
        <v>35</v>
      </c>
      <c r="E3" s="24" t="s">
        <v>115</v>
      </c>
      <c r="F3" s="25" t="s">
        <v>116</v>
      </c>
      <c r="G3" s="26" t="s">
        <v>14</v>
      </c>
      <c r="H3" s="27" t="n">
        <f aca="false">IFERROR(INDEX(Config!$B$3:$B$8,MATCH($G3,Config!$A$3:$A$8,0)),0)</f>
        <v>0.5</v>
      </c>
      <c r="I3" s="28" t="n">
        <f aca="false">IFERROR(INDEX(Config!$C$3:$C$8,MATCH($G3,Config!$A$3:$A$8,0)),0)</f>
        <v>1</v>
      </c>
      <c r="J3" s="25" t="s">
        <v>117</v>
      </c>
    </row>
    <row r="4" customFormat="false" ht="15" hidden="false" customHeight="true" outlineLevel="0" collapsed="false">
      <c r="A4" s="23" t="n">
        <v>3</v>
      </c>
      <c r="B4" s="23" t="s">
        <v>25</v>
      </c>
      <c r="C4" s="23" t="s">
        <v>34</v>
      </c>
      <c r="D4" s="23" t="s">
        <v>35</v>
      </c>
      <c r="E4" s="24" t="s">
        <v>118</v>
      </c>
      <c r="F4" s="25" t="s">
        <v>119</v>
      </c>
      <c r="G4" s="26" t="s">
        <v>13</v>
      </c>
      <c r="H4" s="27" t="n">
        <f aca="false">IFERROR(INDEX(Config!$B$3:$B$8,MATCH($G4,Config!$A$3:$A$8,0)),0)</f>
        <v>1</v>
      </c>
      <c r="I4" s="28" t="n">
        <f aca="false">IFERROR(INDEX(Config!$C$3:$C$8,MATCH($G4,Config!$A$3:$A$8,0)),0)</f>
        <v>1</v>
      </c>
      <c r="J4" s="25" t="s">
        <v>120</v>
      </c>
    </row>
    <row r="5" customFormat="false" ht="23.25" hidden="false" customHeight="true" outlineLevel="0" collapsed="false">
      <c r="A5" s="23" t="n">
        <v>4</v>
      </c>
      <c r="B5" s="23" t="s">
        <v>25</v>
      </c>
      <c r="C5" s="23" t="s">
        <v>34</v>
      </c>
      <c r="D5" s="23" t="s">
        <v>35</v>
      </c>
      <c r="E5" s="24" t="s">
        <v>121</v>
      </c>
      <c r="F5" s="25" t="s">
        <v>122</v>
      </c>
      <c r="G5" s="26" t="s">
        <v>13</v>
      </c>
      <c r="H5" s="27" t="n">
        <f aca="false">IFERROR(INDEX(Config!$B$3:$B$8,MATCH($G5,Config!$A$3:$A$8,0)),0)</f>
        <v>1</v>
      </c>
      <c r="I5" s="28" t="n">
        <f aca="false">IFERROR(INDEX(Config!$C$3:$C$8,MATCH($G5,Config!$A$3:$A$8,0)),0)</f>
        <v>1</v>
      </c>
      <c r="J5" s="25" t="s">
        <v>123</v>
      </c>
    </row>
    <row r="6" customFormat="false" ht="23.25" hidden="false" customHeight="true" outlineLevel="0" collapsed="false">
      <c r="A6" s="23" t="n">
        <v>5</v>
      </c>
      <c r="B6" s="23" t="s">
        <v>25</v>
      </c>
      <c r="C6" s="23" t="s">
        <v>34</v>
      </c>
      <c r="D6" s="23" t="s">
        <v>35</v>
      </c>
      <c r="E6" s="24" t="s">
        <v>124</v>
      </c>
      <c r="F6" s="25" t="s">
        <v>125</v>
      </c>
      <c r="G6" s="26" t="s">
        <v>13</v>
      </c>
      <c r="H6" s="27" t="n">
        <f aca="false">IFERROR(INDEX(Config!$B$3:$B$8,MATCH($G6,Config!$A$3:$A$8,0)),0)</f>
        <v>1</v>
      </c>
      <c r="I6" s="28" t="n">
        <f aca="false">IFERROR(INDEX(Config!$C$3:$C$8,MATCH($G6,Config!$A$3:$A$8,0)),0)</f>
        <v>1</v>
      </c>
      <c r="J6" s="25" t="s">
        <v>126</v>
      </c>
    </row>
    <row r="7" customFormat="false" ht="15" hidden="false" customHeight="true" outlineLevel="0" collapsed="false">
      <c r="A7" s="23" t="n">
        <v>6</v>
      </c>
      <c r="B7" s="23" t="s">
        <v>25</v>
      </c>
      <c r="C7" s="23" t="s">
        <v>36</v>
      </c>
      <c r="D7" s="23" t="s">
        <v>37</v>
      </c>
      <c r="E7" s="24" t="s">
        <v>127</v>
      </c>
      <c r="F7" s="25" t="s">
        <v>128</v>
      </c>
      <c r="G7" s="26" t="s">
        <v>13</v>
      </c>
      <c r="H7" s="27" t="n">
        <f aca="false">IFERROR(INDEX(Config!$B$3:$B$8,MATCH($G7,Config!$A$3:$A$8,0)),0)</f>
        <v>1</v>
      </c>
      <c r="I7" s="28" t="n">
        <f aca="false">IFERROR(INDEX(Config!$C$3:$C$8,MATCH($G7,Config!$A$3:$A$8,0)),0)</f>
        <v>1</v>
      </c>
      <c r="J7" s="25" t="s">
        <v>129</v>
      </c>
    </row>
    <row r="8" customFormat="false" ht="15" hidden="false" customHeight="true" outlineLevel="0" collapsed="false">
      <c r="A8" s="23" t="n">
        <v>7</v>
      </c>
      <c r="B8" s="23" t="s">
        <v>25</v>
      </c>
      <c r="C8" s="23" t="s">
        <v>36</v>
      </c>
      <c r="D8" s="23" t="s">
        <v>37</v>
      </c>
      <c r="E8" s="24" t="s">
        <v>130</v>
      </c>
      <c r="F8" s="25" t="s">
        <v>131</v>
      </c>
      <c r="G8" s="26" t="s">
        <v>13</v>
      </c>
      <c r="H8" s="27" t="n">
        <f aca="false">IFERROR(INDEX(Config!$B$3:$B$8,MATCH($G8,Config!$A$3:$A$8,0)),0)</f>
        <v>1</v>
      </c>
      <c r="I8" s="28" t="n">
        <f aca="false">IFERROR(INDEX(Config!$C$3:$C$8,MATCH($G8,Config!$A$3:$A$8,0)),0)</f>
        <v>1</v>
      </c>
      <c r="J8" s="25" t="s">
        <v>132</v>
      </c>
    </row>
    <row r="9" customFormat="false" ht="15" hidden="false" customHeight="true" outlineLevel="0" collapsed="false">
      <c r="A9" s="23" t="n">
        <v>8</v>
      </c>
      <c r="B9" s="23" t="s">
        <v>25</v>
      </c>
      <c r="C9" s="23" t="s">
        <v>36</v>
      </c>
      <c r="D9" s="23" t="s">
        <v>37</v>
      </c>
      <c r="E9" s="24" t="s">
        <v>133</v>
      </c>
      <c r="F9" s="25" t="s">
        <v>134</v>
      </c>
      <c r="G9" s="26" t="s">
        <v>13</v>
      </c>
      <c r="H9" s="27" t="n">
        <f aca="false">IFERROR(INDEX(Config!$B$3:$B$8,MATCH($G9,Config!$A$3:$A$8,0)),0)</f>
        <v>1</v>
      </c>
      <c r="I9" s="28" t="n">
        <f aca="false">IFERROR(INDEX(Config!$C$3:$C$8,MATCH($G9,Config!$A$3:$A$8,0)),0)</f>
        <v>1</v>
      </c>
      <c r="J9" s="25" t="s">
        <v>135</v>
      </c>
    </row>
    <row r="10" customFormat="false" ht="15" hidden="false" customHeight="true" outlineLevel="0" collapsed="false">
      <c r="A10" s="23" t="n">
        <v>9</v>
      </c>
      <c r="B10" s="23" t="s">
        <v>25</v>
      </c>
      <c r="C10" s="23" t="s">
        <v>36</v>
      </c>
      <c r="D10" s="23" t="s">
        <v>37</v>
      </c>
      <c r="E10" s="24" t="s">
        <v>136</v>
      </c>
      <c r="F10" s="25" t="s">
        <v>137</v>
      </c>
      <c r="G10" s="26" t="s">
        <v>13</v>
      </c>
      <c r="H10" s="27" t="n">
        <f aca="false">IFERROR(INDEX(Config!$B$3:$B$8,MATCH($G10,Config!$A$3:$A$8,0)),0)</f>
        <v>1</v>
      </c>
      <c r="I10" s="28" t="n">
        <f aca="false">IFERROR(INDEX(Config!$C$3:$C$8,MATCH($G10,Config!$A$3:$A$8,0)),0)</f>
        <v>1</v>
      </c>
      <c r="J10" s="25" t="s">
        <v>138</v>
      </c>
    </row>
    <row r="11" customFormat="false" ht="15" hidden="false" customHeight="true" outlineLevel="0" collapsed="false">
      <c r="A11" s="23" t="n">
        <v>10</v>
      </c>
      <c r="B11" s="23" t="s">
        <v>25</v>
      </c>
      <c r="C11" s="23" t="s">
        <v>36</v>
      </c>
      <c r="D11" s="23" t="s">
        <v>37</v>
      </c>
      <c r="E11" s="24" t="s">
        <v>139</v>
      </c>
      <c r="F11" s="25" t="s">
        <v>140</v>
      </c>
      <c r="G11" s="26" t="s">
        <v>13</v>
      </c>
      <c r="H11" s="27" t="n">
        <f aca="false">IFERROR(INDEX(Config!$B$3:$B$8,MATCH($G11,Config!$A$3:$A$8,0)),0)</f>
        <v>1</v>
      </c>
      <c r="I11" s="28" t="n">
        <f aca="false">IFERROR(INDEX(Config!$C$3:$C$8,MATCH($G11,Config!$A$3:$A$8,0)),0)</f>
        <v>1</v>
      </c>
      <c r="J11" s="25" t="s">
        <v>141</v>
      </c>
    </row>
    <row r="12" customFormat="false" ht="23.25" hidden="false" customHeight="true" outlineLevel="0" collapsed="false">
      <c r="A12" s="23" t="n">
        <v>11</v>
      </c>
      <c r="B12" s="23" t="s">
        <v>25</v>
      </c>
      <c r="C12" s="23" t="s">
        <v>36</v>
      </c>
      <c r="D12" s="23" t="s">
        <v>37</v>
      </c>
      <c r="E12" s="24" t="s">
        <v>142</v>
      </c>
      <c r="F12" s="25" t="s">
        <v>143</v>
      </c>
      <c r="G12" s="26" t="s">
        <v>13</v>
      </c>
      <c r="H12" s="27" t="n">
        <f aca="false">IFERROR(INDEX(Config!$B$3:$B$8,MATCH($G12,Config!$A$3:$A$8,0)),0)</f>
        <v>1</v>
      </c>
      <c r="I12" s="28" t="n">
        <f aca="false">IFERROR(INDEX(Config!$C$3:$C$8,MATCH($G12,Config!$A$3:$A$8,0)),0)</f>
        <v>1</v>
      </c>
      <c r="J12" s="25" t="s">
        <v>144</v>
      </c>
    </row>
    <row r="13" customFormat="false" ht="23.25" hidden="false" customHeight="true" outlineLevel="0" collapsed="false">
      <c r="A13" s="23" t="n">
        <v>12</v>
      </c>
      <c r="B13" s="23" t="s">
        <v>25</v>
      </c>
      <c r="C13" s="23" t="s">
        <v>36</v>
      </c>
      <c r="D13" s="23" t="s">
        <v>37</v>
      </c>
      <c r="E13" s="24" t="s">
        <v>145</v>
      </c>
      <c r="F13" s="25" t="s">
        <v>146</v>
      </c>
      <c r="G13" s="26" t="s">
        <v>15</v>
      </c>
      <c r="H13" s="27" t="n">
        <f aca="false">IFERROR(INDEX(Config!$B$3:$B$8,MATCH($G13,Config!$A$3:$A$8,0)),0)</f>
        <v>0</v>
      </c>
      <c r="I13" s="28" t="n">
        <f aca="false">IFERROR(INDEX(Config!$C$3:$C$8,MATCH($G13,Config!$A$3:$A$8,0)),0)</f>
        <v>1</v>
      </c>
      <c r="J13" s="25" t="s">
        <v>147</v>
      </c>
    </row>
    <row r="14" customFormat="false" ht="23.25" hidden="false" customHeight="true" outlineLevel="0" collapsed="false">
      <c r="A14" s="23" t="n">
        <v>13</v>
      </c>
      <c r="B14" s="23" t="s">
        <v>25</v>
      </c>
      <c r="C14" s="23" t="s">
        <v>36</v>
      </c>
      <c r="D14" s="23" t="s">
        <v>37</v>
      </c>
      <c r="E14" s="24" t="s">
        <v>148</v>
      </c>
      <c r="F14" s="25" t="s">
        <v>149</v>
      </c>
      <c r="G14" s="26" t="s">
        <v>14</v>
      </c>
      <c r="H14" s="27" t="n">
        <f aca="false">IFERROR(INDEX(Config!$B$3:$B$8,MATCH($G14,Config!$A$3:$A$8,0)),0)</f>
        <v>0.5</v>
      </c>
      <c r="I14" s="28" t="n">
        <f aca="false">IFERROR(INDEX(Config!$C$3:$C$8,MATCH($G14,Config!$A$3:$A$8,0)),0)</f>
        <v>1</v>
      </c>
      <c r="J14" s="25" t="s">
        <v>150</v>
      </c>
    </row>
    <row r="15" customFormat="false" ht="15" hidden="false" customHeight="true" outlineLevel="0" collapsed="false">
      <c r="A15" s="23" t="n">
        <v>14</v>
      </c>
      <c r="B15" s="23" t="s">
        <v>25</v>
      </c>
      <c r="C15" s="23" t="s">
        <v>36</v>
      </c>
      <c r="D15" s="23" t="s">
        <v>37</v>
      </c>
      <c r="E15" s="24" t="s">
        <v>151</v>
      </c>
      <c r="F15" s="25" t="s">
        <v>152</v>
      </c>
      <c r="G15" s="26" t="s">
        <v>14</v>
      </c>
      <c r="H15" s="27" t="n">
        <f aca="false">IFERROR(INDEX(Config!$B$3:$B$8,MATCH($G15,Config!$A$3:$A$8,0)),0)</f>
        <v>0.5</v>
      </c>
      <c r="I15" s="28" t="n">
        <f aca="false">IFERROR(INDEX(Config!$C$3:$C$8,MATCH($G15,Config!$A$3:$A$8,0)),0)</f>
        <v>1</v>
      </c>
      <c r="J15" s="25" t="s">
        <v>153</v>
      </c>
    </row>
    <row r="16" customFormat="false" ht="15" hidden="false" customHeight="true" outlineLevel="0" collapsed="false">
      <c r="A16" s="23" t="n">
        <v>15</v>
      </c>
      <c r="B16" s="23" t="s">
        <v>25</v>
      </c>
      <c r="C16" s="23" t="s">
        <v>36</v>
      </c>
      <c r="D16" s="23" t="s">
        <v>37</v>
      </c>
      <c r="E16" s="24" t="s">
        <v>154</v>
      </c>
      <c r="F16" s="25" t="s">
        <v>155</v>
      </c>
      <c r="G16" s="26" t="s">
        <v>17</v>
      </c>
      <c r="H16" s="27" t="n">
        <f aca="false">IFERROR(INDEX(Config!$B$3:$B$8,MATCH($G16,Config!$A$3:$A$8,0)),0)</f>
        <v>0</v>
      </c>
      <c r="I16" s="28" t="n">
        <f aca="false">IFERROR(INDEX(Config!$C$3:$C$8,MATCH($G16,Config!$A$3:$A$8,0)),0)</f>
        <v>0</v>
      </c>
      <c r="J16" s="25" t="s">
        <v>156</v>
      </c>
    </row>
    <row r="17" customFormat="false" ht="15" hidden="false" customHeight="true" outlineLevel="0" collapsed="false">
      <c r="A17" s="23" t="n">
        <v>16</v>
      </c>
      <c r="B17" s="23" t="s">
        <v>25</v>
      </c>
      <c r="C17" s="23" t="s">
        <v>36</v>
      </c>
      <c r="D17" s="23" t="s">
        <v>37</v>
      </c>
      <c r="E17" s="24" t="s">
        <v>157</v>
      </c>
      <c r="F17" s="25" t="s">
        <v>158</v>
      </c>
      <c r="G17" s="26" t="s">
        <v>13</v>
      </c>
      <c r="H17" s="27" t="n">
        <f aca="false">IFERROR(INDEX(Config!$B$3:$B$8,MATCH($G17,Config!$A$3:$A$8,0)),0)</f>
        <v>1</v>
      </c>
      <c r="I17" s="28" t="n">
        <f aca="false">IFERROR(INDEX(Config!$C$3:$C$8,MATCH($G17,Config!$A$3:$A$8,0)),0)</f>
        <v>1</v>
      </c>
      <c r="J17" s="25" t="s">
        <v>159</v>
      </c>
    </row>
    <row r="18" customFormat="false" ht="15" hidden="false" customHeight="true" outlineLevel="0" collapsed="false">
      <c r="A18" s="23" t="n">
        <v>17</v>
      </c>
      <c r="B18" s="23" t="s">
        <v>25</v>
      </c>
      <c r="C18" s="23" t="s">
        <v>38</v>
      </c>
      <c r="D18" s="23" t="s">
        <v>39</v>
      </c>
      <c r="E18" s="24" t="s">
        <v>160</v>
      </c>
      <c r="F18" s="25" t="s">
        <v>161</v>
      </c>
      <c r="G18" s="26" t="s">
        <v>15</v>
      </c>
      <c r="H18" s="27" t="n">
        <f aca="false">IFERROR(INDEX(Config!$B$3:$B$8,MATCH($G18,Config!$A$3:$A$8,0)),0)</f>
        <v>0</v>
      </c>
      <c r="I18" s="28" t="n">
        <f aca="false">IFERROR(INDEX(Config!$C$3:$C$8,MATCH($G18,Config!$A$3:$A$8,0)),0)</f>
        <v>1</v>
      </c>
      <c r="J18" s="25"/>
    </row>
    <row r="19" customFormat="false" ht="15" hidden="false" customHeight="true" outlineLevel="0" collapsed="false">
      <c r="A19" s="23" t="n">
        <v>18</v>
      </c>
      <c r="B19" s="23" t="s">
        <v>25</v>
      </c>
      <c r="C19" s="23" t="s">
        <v>38</v>
      </c>
      <c r="D19" s="23" t="s">
        <v>39</v>
      </c>
      <c r="E19" s="24" t="s">
        <v>162</v>
      </c>
      <c r="F19" s="25" t="s">
        <v>163</v>
      </c>
      <c r="G19" s="26" t="s">
        <v>13</v>
      </c>
      <c r="H19" s="27" t="n">
        <f aca="false">IFERROR(INDEX(Config!$B$3:$B$8,MATCH($G19,Config!$A$3:$A$8,0)),0)</f>
        <v>1</v>
      </c>
      <c r="I19" s="28" t="n">
        <f aca="false">IFERROR(INDEX(Config!$C$3:$C$8,MATCH($G19,Config!$A$3:$A$8,0)),0)</f>
        <v>1</v>
      </c>
      <c r="J19" s="25" t="s">
        <v>164</v>
      </c>
    </row>
    <row r="20" customFormat="false" ht="23.25" hidden="false" customHeight="true" outlineLevel="0" collapsed="false">
      <c r="A20" s="23" t="n">
        <v>19</v>
      </c>
      <c r="B20" s="23" t="s">
        <v>25</v>
      </c>
      <c r="C20" s="23" t="s">
        <v>38</v>
      </c>
      <c r="D20" s="23" t="s">
        <v>39</v>
      </c>
      <c r="E20" s="24" t="s">
        <v>165</v>
      </c>
      <c r="F20" s="25" t="s">
        <v>166</v>
      </c>
      <c r="G20" s="26" t="s">
        <v>14</v>
      </c>
      <c r="H20" s="27" t="n">
        <f aca="false">IFERROR(INDEX(Config!$B$3:$B$8,MATCH($G20,Config!$A$3:$A$8,0)),0)</f>
        <v>0.5</v>
      </c>
      <c r="I20" s="28" t="n">
        <f aca="false">IFERROR(INDEX(Config!$C$3:$C$8,MATCH($G20,Config!$A$3:$A$8,0)),0)</f>
        <v>1</v>
      </c>
      <c r="J20" s="25" t="s">
        <v>167</v>
      </c>
    </row>
    <row r="21" customFormat="false" ht="15" hidden="false" customHeight="true" outlineLevel="0" collapsed="false">
      <c r="A21" s="23" t="n">
        <v>20</v>
      </c>
      <c r="B21" s="23" t="s">
        <v>25</v>
      </c>
      <c r="C21" s="23" t="s">
        <v>38</v>
      </c>
      <c r="D21" s="23" t="s">
        <v>39</v>
      </c>
      <c r="E21" s="24" t="s">
        <v>168</v>
      </c>
      <c r="F21" s="25" t="s">
        <v>169</v>
      </c>
      <c r="G21" s="26" t="s">
        <v>14</v>
      </c>
      <c r="H21" s="27" t="n">
        <f aca="false">IFERROR(INDEX(Config!$B$3:$B$8,MATCH($G21,Config!$A$3:$A$8,0)),0)</f>
        <v>0.5</v>
      </c>
      <c r="I21" s="28" t="n">
        <f aca="false">IFERROR(INDEX(Config!$C$3:$C$8,MATCH($G21,Config!$A$3:$A$8,0)),0)</f>
        <v>1</v>
      </c>
      <c r="J21" s="25" t="s">
        <v>170</v>
      </c>
    </row>
    <row r="22" customFormat="false" ht="15" hidden="false" customHeight="true" outlineLevel="0" collapsed="false">
      <c r="A22" s="23" t="n">
        <v>21</v>
      </c>
      <c r="B22" s="23" t="s">
        <v>25</v>
      </c>
      <c r="C22" s="23" t="s">
        <v>38</v>
      </c>
      <c r="D22" s="23" t="s">
        <v>39</v>
      </c>
      <c r="E22" s="24" t="s">
        <v>171</v>
      </c>
      <c r="F22" s="25" t="s">
        <v>172</v>
      </c>
      <c r="G22" s="26" t="s">
        <v>15</v>
      </c>
      <c r="H22" s="27" t="n">
        <f aca="false">IFERROR(INDEX(Config!$B$3:$B$8,MATCH($G22,Config!$A$3:$A$8,0)),0)</f>
        <v>0</v>
      </c>
      <c r="I22" s="28" t="n">
        <f aca="false">IFERROR(INDEX(Config!$C$3:$C$8,MATCH($G22,Config!$A$3:$A$8,0)),0)</f>
        <v>1</v>
      </c>
      <c r="J22" s="25" t="s">
        <v>173</v>
      </c>
    </row>
    <row r="23" customFormat="false" ht="15" hidden="false" customHeight="true" outlineLevel="0" collapsed="false">
      <c r="A23" s="23" t="n">
        <v>22</v>
      </c>
      <c r="B23" s="23" t="s">
        <v>25</v>
      </c>
      <c r="C23" s="23" t="s">
        <v>38</v>
      </c>
      <c r="D23" s="23" t="s">
        <v>39</v>
      </c>
      <c r="E23" s="24" t="s">
        <v>174</v>
      </c>
      <c r="F23" s="25" t="s">
        <v>175</v>
      </c>
      <c r="G23" s="26" t="s">
        <v>13</v>
      </c>
      <c r="H23" s="27" t="n">
        <f aca="false">IFERROR(INDEX(Config!$B$3:$B$8,MATCH($G23,Config!$A$3:$A$8,0)),0)</f>
        <v>1</v>
      </c>
      <c r="I23" s="28" t="n">
        <f aca="false">IFERROR(INDEX(Config!$C$3:$C$8,MATCH($G23,Config!$A$3:$A$8,0)),0)</f>
        <v>1</v>
      </c>
      <c r="J23" s="25" t="s">
        <v>176</v>
      </c>
    </row>
    <row r="24" customFormat="false" ht="15" hidden="false" customHeight="true" outlineLevel="0" collapsed="false">
      <c r="A24" s="23" t="n">
        <v>23</v>
      </c>
      <c r="B24" s="23" t="s">
        <v>25</v>
      </c>
      <c r="C24" s="23" t="s">
        <v>38</v>
      </c>
      <c r="D24" s="23" t="s">
        <v>39</v>
      </c>
      <c r="E24" s="24" t="s">
        <v>177</v>
      </c>
      <c r="F24" s="25" t="s">
        <v>178</v>
      </c>
      <c r="G24" s="26" t="s">
        <v>15</v>
      </c>
      <c r="H24" s="27" t="n">
        <f aca="false">IFERROR(INDEX(Config!$B$3:$B$8,MATCH($G24,Config!$A$3:$A$8,0)),0)</f>
        <v>0</v>
      </c>
      <c r="I24" s="28" t="n">
        <f aca="false">IFERROR(INDEX(Config!$C$3:$C$8,MATCH($G24,Config!$A$3:$A$8,0)),0)</f>
        <v>1</v>
      </c>
      <c r="J24" s="25" t="s">
        <v>179</v>
      </c>
    </row>
    <row r="25" customFormat="false" ht="34.5" hidden="false" customHeight="true" outlineLevel="0" collapsed="false">
      <c r="A25" s="23" t="n">
        <v>24</v>
      </c>
      <c r="B25" s="23" t="s">
        <v>25</v>
      </c>
      <c r="C25" s="23" t="s">
        <v>40</v>
      </c>
      <c r="D25" s="23" t="s">
        <v>41</v>
      </c>
      <c r="E25" s="24" t="s">
        <v>180</v>
      </c>
      <c r="F25" s="25" t="s">
        <v>181</v>
      </c>
      <c r="G25" s="26" t="s">
        <v>13</v>
      </c>
      <c r="H25" s="27" t="n">
        <f aca="false">IFERROR(INDEX(Config!$B$3:$B$8,MATCH($G25,Config!$A$3:$A$8,0)),0)</f>
        <v>1</v>
      </c>
      <c r="I25" s="28" t="n">
        <f aca="false">IFERROR(INDEX(Config!$C$3:$C$8,MATCH($G25,Config!$A$3:$A$8,0)),0)</f>
        <v>1</v>
      </c>
      <c r="J25" s="25" t="s">
        <v>182</v>
      </c>
    </row>
    <row r="26" customFormat="false" ht="23.25" hidden="false" customHeight="true" outlineLevel="0" collapsed="false">
      <c r="A26" s="23" t="n">
        <v>25</v>
      </c>
      <c r="B26" s="23" t="s">
        <v>25</v>
      </c>
      <c r="C26" s="23" t="s">
        <v>40</v>
      </c>
      <c r="D26" s="23" t="s">
        <v>41</v>
      </c>
      <c r="E26" s="24" t="s">
        <v>183</v>
      </c>
      <c r="F26" s="25" t="s">
        <v>184</v>
      </c>
      <c r="G26" s="26" t="s">
        <v>13</v>
      </c>
      <c r="H26" s="27" t="n">
        <f aca="false">IFERROR(INDEX(Config!$B$3:$B$8,MATCH($G26,Config!$A$3:$A$8,0)),0)</f>
        <v>1</v>
      </c>
      <c r="I26" s="28" t="n">
        <f aca="false">IFERROR(INDEX(Config!$C$3:$C$8,MATCH($G26,Config!$A$3:$A$8,0)),0)</f>
        <v>1</v>
      </c>
      <c r="J26" s="25" t="s">
        <v>185</v>
      </c>
    </row>
    <row r="27" customFormat="false" ht="23.25" hidden="false" customHeight="true" outlineLevel="0" collapsed="false">
      <c r="A27" s="23" t="n">
        <v>26</v>
      </c>
      <c r="B27" s="23" t="s">
        <v>25</v>
      </c>
      <c r="C27" s="23" t="s">
        <v>40</v>
      </c>
      <c r="D27" s="23" t="s">
        <v>41</v>
      </c>
      <c r="E27" s="24" t="s">
        <v>186</v>
      </c>
      <c r="F27" s="25" t="s">
        <v>187</v>
      </c>
      <c r="G27" s="26" t="s">
        <v>15</v>
      </c>
      <c r="H27" s="27" t="n">
        <f aca="false">IFERROR(INDEX(Config!$B$3:$B$8,MATCH($G27,Config!$A$3:$A$8,0)),0)</f>
        <v>0</v>
      </c>
      <c r="I27" s="28" t="n">
        <f aca="false">IFERROR(INDEX(Config!$C$3:$C$8,MATCH($G27,Config!$A$3:$A$8,0)),0)</f>
        <v>1</v>
      </c>
      <c r="J27" s="25" t="s">
        <v>188</v>
      </c>
    </row>
    <row r="28" customFormat="false" ht="15" hidden="false" customHeight="true" outlineLevel="0" collapsed="false">
      <c r="A28" s="23" t="n">
        <v>27</v>
      </c>
      <c r="B28" s="23" t="s">
        <v>25</v>
      </c>
      <c r="C28" s="23" t="s">
        <v>40</v>
      </c>
      <c r="D28" s="23" t="s">
        <v>41</v>
      </c>
      <c r="E28" s="24" t="s">
        <v>189</v>
      </c>
      <c r="F28" s="25" t="s">
        <v>190</v>
      </c>
      <c r="G28" s="26" t="s">
        <v>15</v>
      </c>
      <c r="H28" s="27" t="n">
        <f aca="false">IFERROR(INDEX(Config!$B$3:$B$8,MATCH($G28,Config!$A$3:$A$8,0)),0)</f>
        <v>0</v>
      </c>
      <c r="I28" s="28" t="n">
        <f aca="false">IFERROR(INDEX(Config!$C$3:$C$8,MATCH($G28,Config!$A$3:$A$8,0)),0)</f>
        <v>1</v>
      </c>
      <c r="J28" s="25" t="s">
        <v>191</v>
      </c>
    </row>
    <row r="29" customFormat="false" ht="23.25" hidden="false" customHeight="true" outlineLevel="0" collapsed="false">
      <c r="A29" s="23" t="n">
        <v>28</v>
      </c>
      <c r="B29" s="23" t="s">
        <v>25</v>
      </c>
      <c r="C29" s="23" t="s">
        <v>40</v>
      </c>
      <c r="D29" s="23" t="s">
        <v>41</v>
      </c>
      <c r="E29" s="24" t="s">
        <v>192</v>
      </c>
      <c r="F29" s="25" t="s">
        <v>193</v>
      </c>
      <c r="G29" s="26" t="s">
        <v>13</v>
      </c>
      <c r="H29" s="27" t="n">
        <f aca="false">IFERROR(INDEX(Config!$B$3:$B$8,MATCH($G29,Config!$A$3:$A$8,0)),0)</f>
        <v>1</v>
      </c>
      <c r="I29" s="28" t="n">
        <f aca="false">IFERROR(INDEX(Config!$C$3:$C$8,MATCH($G29,Config!$A$3:$A$8,0)),0)</f>
        <v>1</v>
      </c>
      <c r="J29" s="25" t="s">
        <v>194</v>
      </c>
    </row>
    <row r="30" customFormat="false" ht="23.25" hidden="false" customHeight="true" outlineLevel="0" collapsed="false">
      <c r="A30" s="23" t="n">
        <v>29</v>
      </c>
      <c r="B30" s="23" t="s">
        <v>25</v>
      </c>
      <c r="C30" s="23" t="s">
        <v>40</v>
      </c>
      <c r="D30" s="23" t="s">
        <v>41</v>
      </c>
      <c r="E30" s="24" t="s">
        <v>195</v>
      </c>
      <c r="F30" s="25" t="s">
        <v>196</v>
      </c>
      <c r="G30" s="26" t="s">
        <v>13</v>
      </c>
      <c r="H30" s="27" t="n">
        <f aca="false">IFERROR(INDEX(Config!$B$3:$B$8,MATCH($G30,Config!$A$3:$A$8,0)),0)</f>
        <v>1</v>
      </c>
      <c r="I30" s="28" t="n">
        <f aca="false">IFERROR(INDEX(Config!$C$3:$C$8,MATCH($G30,Config!$A$3:$A$8,0)),0)</f>
        <v>1</v>
      </c>
      <c r="J30" s="25" t="s">
        <v>197</v>
      </c>
    </row>
    <row r="31" customFormat="false" ht="23.25" hidden="false" customHeight="true" outlineLevel="0" collapsed="false">
      <c r="A31" s="23" t="n">
        <v>30</v>
      </c>
      <c r="B31" s="23" t="s">
        <v>25</v>
      </c>
      <c r="C31" s="23" t="s">
        <v>40</v>
      </c>
      <c r="D31" s="23" t="s">
        <v>41</v>
      </c>
      <c r="E31" s="24" t="s">
        <v>198</v>
      </c>
      <c r="F31" s="25" t="s">
        <v>199</v>
      </c>
      <c r="G31" s="26" t="s">
        <v>13</v>
      </c>
      <c r="H31" s="27" t="n">
        <f aca="false">IFERROR(INDEX(Config!$B$3:$B$8,MATCH($G31,Config!$A$3:$A$8,0)),0)</f>
        <v>1</v>
      </c>
      <c r="I31" s="28" t="n">
        <f aca="false">IFERROR(INDEX(Config!$C$3:$C$8,MATCH($G31,Config!$A$3:$A$8,0)),0)</f>
        <v>1</v>
      </c>
      <c r="J31" s="25" t="s">
        <v>200</v>
      </c>
    </row>
    <row r="32" customFormat="false" ht="23.25" hidden="false" customHeight="true" outlineLevel="0" collapsed="false">
      <c r="A32" s="23" t="n">
        <v>31</v>
      </c>
      <c r="B32" s="23" t="s">
        <v>25</v>
      </c>
      <c r="C32" s="23" t="s">
        <v>40</v>
      </c>
      <c r="D32" s="23" t="s">
        <v>41</v>
      </c>
      <c r="E32" s="24" t="s">
        <v>201</v>
      </c>
      <c r="F32" s="25" t="s">
        <v>202</v>
      </c>
      <c r="G32" s="26" t="s">
        <v>15</v>
      </c>
      <c r="H32" s="27" t="n">
        <f aca="false">IFERROR(INDEX(Config!$B$3:$B$8,MATCH($G32,Config!$A$3:$A$8,0)),0)</f>
        <v>0</v>
      </c>
      <c r="I32" s="28" t="n">
        <f aca="false">IFERROR(INDEX(Config!$C$3:$C$8,MATCH($G32,Config!$A$3:$A$8,0)),0)</f>
        <v>1</v>
      </c>
      <c r="J32" s="25" t="s">
        <v>203</v>
      </c>
    </row>
    <row r="33" customFormat="false" ht="15" hidden="false" customHeight="true" outlineLevel="0" collapsed="false">
      <c r="A33" s="23" t="n">
        <v>32</v>
      </c>
      <c r="B33" s="23" t="s">
        <v>25</v>
      </c>
      <c r="C33" s="23" t="s">
        <v>40</v>
      </c>
      <c r="D33" s="23" t="s">
        <v>41</v>
      </c>
      <c r="E33" s="24" t="s">
        <v>204</v>
      </c>
      <c r="F33" s="25" t="s">
        <v>205</v>
      </c>
      <c r="G33" s="26" t="s">
        <v>15</v>
      </c>
      <c r="H33" s="27" t="n">
        <f aca="false">IFERROR(INDEX(Config!$B$3:$B$8,MATCH($G33,Config!$A$3:$A$8,0)),0)</f>
        <v>0</v>
      </c>
      <c r="I33" s="28" t="n">
        <f aca="false">IFERROR(INDEX(Config!$C$3:$C$8,MATCH($G33,Config!$A$3:$A$8,0)),0)</f>
        <v>1</v>
      </c>
      <c r="J33" s="25" t="s">
        <v>206</v>
      </c>
    </row>
    <row r="34" customFormat="false" ht="23.25" hidden="false" customHeight="true" outlineLevel="0" collapsed="false">
      <c r="A34" s="23" t="n">
        <v>33</v>
      </c>
      <c r="B34" s="23" t="s">
        <v>25</v>
      </c>
      <c r="C34" s="23" t="s">
        <v>40</v>
      </c>
      <c r="D34" s="23" t="s">
        <v>41</v>
      </c>
      <c r="E34" s="24" t="s">
        <v>207</v>
      </c>
      <c r="F34" s="25" t="s">
        <v>208</v>
      </c>
      <c r="G34" s="26" t="s">
        <v>14</v>
      </c>
      <c r="H34" s="27" t="n">
        <f aca="false">IFERROR(INDEX(Config!$B$3:$B$8,MATCH($G34,Config!$A$3:$A$8,0)),0)</f>
        <v>0.5</v>
      </c>
      <c r="I34" s="28" t="n">
        <f aca="false">IFERROR(INDEX(Config!$C$3:$C$8,MATCH($G34,Config!$A$3:$A$8,0)),0)</f>
        <v>1</v>
      </c>
      <c r="J34" s="25" t="s">
        <v>209</v>
      </c>
    </row>
    <row r="35" customFormat="false" ht="23.25" hidden="false" customHeight="true" outlineLevel="0" collapsed="false">
      <c r="A35" s="23" t="n">
        <v>34</v>
      </c>
      <c r="B35" s="23" t="s">
        <v>25</v>
      </c>
      <c r="C35" s="23" t="s">
        <v>40</v>
      </c>
      <c r="D35" s="23" t="s">
        <v>41</v>
      </c>
      <c r="E35" s="24" t="s">
        <v>210</v>
      </c>
      <c r="F35" s="25" t="s">
        <v>211</v>
      </c>
      <c r="G35" s="26" t="s">
        <v>14</v>
      </c>
      <c r="H35" s="27" t="n">
        <f aca="false">IFERROR(INDEX(Config!$B$3:$B$8,MATCH($G35,Config!$A$3:$A$8,0)),0)</f>
        <v>0.5</v>
      </c>
      <c r="I35" s="28" t="n">
        <f aca="false">IFERROR(INDEX(Config!$C$3:$C$8,MATCH($G35,Config!$A$3:$A$8,0)),0)</f>
        <v>1</v>
      </c>
      <c r="J35" s="25" t="s">
        <v>212</v>
      </c>
    </row>
    <row r="36" customFormat="false" ht="23.25" hidden="false" customHeight="true" outlineLevel="0" collapsed="false">
      <c r="A36" s="23" t="n">
        <v>35</v>
      </c>
      <c r="B36" s="23" t="s">
        <v>25</v>
      </c>
      <c r="C36" s="23" t="s">
        <v>40</v>
      </c>
      <c r="D36" s="23" t="s">
        <v>41</v>
      </c>
      <c r="E36" s="24" t="s">
        <v>213</v>
      </c>
      <c r="F36" s="25" t="s">
        <v>214</v>
      </c>
      <c r="G36" s="26" t="s">
        <v>13</v>
      </c>
      <c r="H36" s="27" t="n">
        <f aca="false">IFERROR(INDEX(Config!$B$3:$B$8,MATCH($G36,Config!$A$3:$A$8,0)),0)</f>
        <v>1</v>
      </c>
      <c r="I36" s="28" t="n">
        <f aca="false">IFERROR(INDEX(Config!$C$3:$C$8,MATCH($G36,Config!$A$3:$A$8,0)),0)</f>
        <v>1</v>
      </c>
      <c r="J36" s="25" t="s">
        <v>215</v>
      </c>
    </row>
    <row r="37" customFormat="false" ht="23.25" hidden="false" customHeight="true" outlineLevel="0" collapsed="false">
      <c r="A37" s="23" t="n">
        <v>36</v>
      </c>
      <c r="B37" s="23" t="s">
        <v>25</v>
      </c>
      <c r="C37" s="23" t="s">
        <v>40</v>
      </c>
      <c r="D37" s="23" t="s">
        <v>41</v>
      </c>
      <c r="E37" s="24" t="s">
        <v>216</v>
      </c>
      <c r="F37" s="25" t="s">
        <v>217</v>
      </c>
      <c r="G37" s="26" t="s">
        <v>15</v>
      </c>
      <c r="H37" s="27" t="n">
        <f aca="false">IFERROR(INDEX(Config!$B$3:$B$8,MATCH($G37,Config!$A$3:$A$8,0)),0)</f>
        <v>0</v>
      </c>
      <c r="I37" s="28" t="n">
        <f aca="false">IFERROR(INDEX(Config!$C$3:$C$8,MATCH($G37,Config!$A$3:$A$8,0)),0)</f>
        <v>1</v>
      </c>
      <c r="J37" s="25" t="s">
        <v>218</v>
      </c>
    </row>
    <row r="38" customFormat="false" ht="23.25" hidden="false" customHeight="true" outlineLevel="0" collapsed="false">
      <c r="A38" s="23" t="n">
        <v>37</v>
      </c>
      <c r="B38" s="23" t="s">
        <v>25</v>
      </c>
      <c r="C38" s="23" t="s">
        <v>40</v>
      </c>
      <c r="D38" s="23" t="s">
        <v>41</v>
      </c>
      <c r="E38" s="24" t="s">
        <v>219</v>
      </c>
      <c r="F38" s="25" t="s">
        <v>220</v>
      </c>
      <c r="G38" s="26" t="s">
        <v>14</v>
      </c>
      <c r="H38" s="27" t="n">
        <f aca="false">IFERROR(INDEX(Config!$B$3:$B$8,MATCH($G38,Config!$A$3:$A$8,0)),0)</f>
        <v>0.5</v>
      </c>
      <c r="I38" s="28" t="n">
        <f aca="false">IFERROR(INDEX(Config!$C$3:$C$8,MATCH($G38,Config!$A$3:$A$8,0)),0)</f>
        <v>1</v>
      </c>
      <c r="J38" s="25" t="s">
        <v>221</v>
      </c>
    </row>
    <row r="39" customFormat="false" ht="23.25" hidden="false" customHeight="true" outlineLevel="0" collapsed="false">
      <c r="A39" s="23" t="n">
        <v>38</v>
      </c>
      <c r="B39" s="23" t="s">
        <v>25</v>
      </c>
      <c r="C39" s="23" t="s">
        <v>40</v>
      </c>
      <c r="D39" s="23" t="s">
        <v>41</v>
      </c>
      <c r="E39" s="24" t="s">
        <v>222</v>
      </c>
      <c r="F39" s="25" t="s">
        <v>223</v>
      </c>
      <c r="G39" s="26" t="s">
        <v>13</v>
      </c>
      <c r="H39" s="27" t="n">
        <f aca="false">IFERROR(INDEX(Config!$B$3:$B$8,MATCH($G39,Config!$A$3:$A$8,0)),0)</f>
        <v>1</v>
      </c>
      <c r="I39" s="28" t="n">
        <f aca="false">IFERROR(INDEX(Config!$C$3:$C$8,MATCH($G39,Config!$A$3:$A$8,0)),0)</f>
        <v>1</v>
      </c>
      <c r="J39" s="25" t="s">
        <v>224</v>
      </c>
    </row>
    <row r="40" customFormat="false" ht="15" hidden="false" customHeight="true" outlineLevel="0" collapsed="false">
      <c r="A40" s="23" t="n">
        <v>39</v>
      </c>
      <c r="B40" s="23" t="s">
        <v>25</v>
      </c>
      <c r="C40" s="23" t="s">
        <v>40</v>
      </c>
      <c r="D40" s="23" t="s">
        <v>41</v>
      </c>
      <c r="E40" s="24" t="s">
        <v>225</v>
      </c>
      <c r="F40" s="25" t="s">
        <v>226</v>
      </c>
      <c r="G40" s="26" t="s">
        <v>15</v>
      </c>
      <c r="H40" s="27" t="n">
        <f aca="false">IFERROR(INDEX(Config!$B$3:$B$8,MATCH($G40,Config!$A$3:$A$8,0)),0)</f>
        <v>0</v>
      </c>
      <c r="I40" s="28" t="n">
        <f aca="false">IFERROR(INDEX(Config!$C$3:$C$8,MATCH($G40,Config!$A$3:$A$8,0)),0)</f>
        <v>1</v>
      </c>
      <c r="J40" s="25"/>
    </row>
    <row r="41" customFormat="false" ht="15" hidden="false" customHeight="true" outlineLevel="0" collapsed="false">
      <c r="A41" s="23" t="n">
        <v>40</v>
      </c>
      <c r="B41" s="23" t="s">
        <v>26</v>
      </c>
      <c r="C41" s="23" t="s">
        <v>42</v>
      </c>
      <c r="D41" s="23" t="s">
        <v>43</v>
      </c>
      <c r="E41" s="24" t="s">
        <v>227</v>
      </c>
      <c r="F41" s="25" t="s">
        <v>228</v>
      </c>
      <c r="G41" s="26" t="s">
        <v>15</v>
      </c>
      <c r="H41" s="27" t="n">
        <f aca="false">IFERROR(INDEX(Config!$B$3:$B$8,MATCH($G41,Config!$A$3:$A$8,0)),0)</f>
        <v>0</v>
      </c>
      <c r="I41" s="28" t="n">
        <f aca="false">IFERROR(INDEX(Config!$C$3:$C$8,MATCH($G41,Config!$A$3:$A$8,0)),0)</f>
        <v>1</v>
      </c>
      <c r="J41" s="25" t="s">
        <v>229</v>
      </c>
    </row>
    <row r="42" customFormat="false" ht="15" hidden="false" customHeight="true" outlineLevel="0" collapsed="false">
      <c r="A42" s="23" t="n">
        <v>41</v>
      </c>
      <c r="B42" s="23" t="s">
        <v>26</v>
      </c>
      <c r="C42" s="23" t="s">
        <v>42</v>
      </c>
      <c r="D42" s="23" t="s">
        <v>43</v>
      </c>
      <c r="E42" s="24" t="s">
        <v>230</v>
      </c>
      <c r="F42" s="25" t="s">
        <v>231</v>
      </c>
      <c r="G42" s="26" t="s">
        <v>15</v>
      </c>
      <c r="H42" s="27" t="n">
        <f aca="false">IFERROR(INDEX(Config!$B$3:$B$8,MATCH($G42,Config!$A$3:$A$8,0)),0)</f>
        <v>0</v>
      </c>
      <c r="I42" s="28" t="n">
        <f aca="false">IFERROR(INDEX(Config!$C$3:$C$8,MATCH($G42,Config!$A$3:$A$8,0)),0)</f>
        <v>1</v>
      </c>
      <c r="J42" s="25" t="s">
        <v>232</v>
      </c>
    </row>
    <row r="43" customFormat="false" ht="15" hidden="false" customHeight="true" outlineLevel="0" collapsed="false">
      <c r="A43" s="23" t="n">
        <v>42</v>
      </c>
      <c r="B43" s="23" t="s">
        <v>26</v>
      </c>
      <c r="C43" s="23" t="s">
        <v>42</v>
      </c>
      <c r="D43" s="23" t="s">
        <v>43</v>
      </c>
      <c r="E43" s="24" t="s">
        <v>233</v>
      </c>
      <c r="F43" s="25" t="s">
        <v>234</v>
      </c>
      <c r="G43" s="26" t="s">
        <v>13</v>
      </c>
      <c r="H43" s="27" t="n">
        <f aca="false">IFERROR(INDEX(Config!$B$3:$B$8,MATCH($G43,Config!$A$3:$A$8,0)),0)</f>
        <v>1</v>
      </c>
      <c r="I43" s="28" t="n">
        <f aca="false">IFERROR(INDEX(Config!$C$3:$C$8,MATCH($G43,Config!$A$3:$A$8,0)),0)</f>
        <v>1</v>
      </c>
      <c r="J43" s="25" t="s">
        <v>235</v>
      </c>
    </row>
    <row r="44" customFormat="false" ht="15" hidden="false" customHeight="true" outlineLevel="0" collapsed="false">
      <c r="A44" s="23" t="n">
        <v>43</v>
      </c>
      <c r="B44" s="23" t="s">
        <v>26</v>
      </c>
      <c r="C44" s="23" t="s">
        <v>42</v>
      </c>
      <c r="D44" s="23" t="s">
        <v>43</v>
      </c>
      <c r="E44" s="24" t="s">
        <v>236</v>
      </c>
      <c r="F44" s="25" t="s">
        <v>237</v>
      </c>
      <c r="G44" s="26" t="s">
        <v>14</v>
      </c>
      <c r="H44" s="27" t="n">
        <f aca="false">IFERROR(INDEX(Config!$B$3:$B$8,MATCH($G44,Config!$A$3:$A$8,0)),0)</f>
        <v>0.5</v>
      </c>
      <c r="I44" s="28" t="n">
        <f aca="false">IFERROR(INDEX(Config!$C$3:$C$8,MATCH($G44,Config!$A$3:$A$8,0)),0)</f>
        <v>1</v>
      </c>
      <c r="J44" s="25" t="s">
        <v>238</v>
      </c>
    </row>
    <row r="45" customFormat="false" ht="23.25" hidden="false" customHeight="true" outlineLevel="0" collapsed="false">
      <c r="A45" s="23" t="n">
        <v>44</v>
      </c>
      <c r="B45" s="23" t="s">
        <v>26</v>
      </c>
      <c r="C45" s="23" t="s">
        <v>42</v>
      </c>
      <c r="D45" s="23" t="s">
        <v>43</v>
      </c>
      <c r="E45" s="24" t="s">
        <v>239</v>
      </c>
      <c r="F45" s="25" t="s">
        <v>240</v>
      </c>
      <c r="G45" s="26" t="s">
        <v>14</v>
      </c>
      <c r="H45" s="27" t="n">
        <f aca="false">IFERROR(INDEX(Config!$B$3:$B$8,MATCH($G45,Config!$A$3:$A$8,0)),0)</f>
        <v>0.5</v>
      </c>
      <c r="I45" s="28" t="n">
        <f aca="false">IFERROR(INDEX(Config!$C$3:$C$8,MATCH($G45,Config!$A$3:$A$8,0)),0)</f>
        <v>1</v>
      </c>
      <c r="J45" s="25" t="s">
        <v>241</v>
      </c>
    </row>
    <row r="46" customFormat="false" ht="23.25" hidden="false" customHeight="true" outlineLevel="0" collapsed="false">
      <c r="A46" s="23" t="n">
        <v>45</v>
      </c>
      <c r="B46" s="23" t="s">
        <v>26</v>
      </c>
      <c r="C46" s="23" t="s">
        <v>42</v>
      </c>
      <c r="D46" s="23" t="s">
        <v>43</v>
      </c>
      <c r="E46" s="24" t="s">
        <v>242</v>
      </c>
      <c r="F46" s="25" t="s">
        <v>243</v>
      </c>
      <c r="G46" s="26" t="s">
        <v>14</v>
      </c>
      <c r="H46" s="27" t="n">
        <f aca="false">IFERROR(INDEX(Config!$B$3:$B$8,MATCH($G46,Config!$A$3:$A$8,0)),0)</f>
        <v>0.5</v>
      </c>
      <c r="I46" s="28" t="n">
        <f aca="false">IFERROR(INDEX(Config!$C$3:$C$8,MATCH($G46,Config!$A$3:$A$8,0)),0)</f>
        <v>1</v>
      </c>
      <c r="J46" s="25" t="s">
        <v>244</v>
      </c>
    </row>
    <row r="47" customFormat="false" ht="15" hidden="false" customHeight="true" outlineLevel="0" collapsed="false">
      <c r="A47" s="23" t="n">
        <v>46</v>
      </c>
      <c r="B47" s="23" t="s">
        <v>26</v>
      </c>
      <c r="C47" s="23" t="s">
        <v>42</v>
      </c>
      <c r="D47" s="23" t="s">
        <v>43</v>
      </c>
      <c r="E47" s="24" t="s">
        <v>245</v>
      </c>
      <c r="F47" s="25" t="s">
        <v>246</v>
      </c>
      <c r="G47" s="26" t="s">
        <v>13</v>
      </c>
      <c r="H47" s="27" t="n">
        <f aca="false">IFERROR(INDEX(Config!$B$3:$B$8,MATCH($G47,Config!$A$3:$A$8,0)),0)</f>
        <v>1</v>
      </c>
      <c r="I47" s="28" t="n">
        <f aca="false">IFERROR(INDEX(Config!$C$3:$C$8,MATCH($G47,Config!$A$3:$A$8,0)),0)</f>
        <v>1</v>
      </c>
      <c r="J47" s="25" t="s">
        <v>247</v>
      </c>
    </row>
    <row r="48" customFormat="false" ht="23.25" hidden="false" customHeight="true" outlineLevel="0" collapsed="false">
      <c r="A48" s="23" t="n">
        <v>47</v>
      </c>
      <c r="B48" s="23" t="s">
        <v>26</v>
      </c>
      <c r="C48" s="23" t="s">
        <v>42</v>
      </c>
      <c r="D48" s="23" t="s">
        <v>43</v>
      </c>
      <c r="E48" s="24" t="s">
        <v>248</v>
      </c>
      <c r="F48" s="25" t="s">
        <v>249</v>
      </c>
      <c r="G48" s="26" t="s">
        <v>13</v>
      </c>
      <c r="H48" s="27" t="n">
        <f aca="false">IFERROR(INDEX(Config!$B$3:$B$8,MATCH($G48,Config!$A$3:$A$8,0)),0)</f>
        <v>1</v>
      </c>
      <c r="I48" s="28" t="n">
        <f aca="false">IFERROR(INDEX(Config!$C$3:$C$8,MATCH($G48,Config!$A$3:$A$8,0)),0)</f>
        <v>1</v>
      </c>
      <c r="J48" s="25" t="s">
        <v>250</v>
      </c>
    </row>
    <row r="49" customFormat="false" ht="23.25" hidden="false" customHeight="true" outlineLevel="0" collapsed="false">
      <c r="A49" s="23" t="n">
        <v>48</v>
      </c>
      <c r="B49" s="23" t="s">
        <v>26</v>
      </c>
      <c r="C49" s="23" t="s">
        <v>42</v>
      </c>
      <c r="D49" s="23" t="s">
        <v>43</v>
      </c>
      <c r="E49" s="24" t="s">
        <v>251</v>
      </c>
      <c r="F49" s="25" t="s">
        <v>252</v>
      </c>
      <c r="G49" s="26" t="s">
        <v>13</v>
      </c>
      <c r="H49" s="27" t="n">
        <f aca="false">IFERROR(INDEX(Config!$B$3:$B$8,MATCH($G49,Config!$A$3:$A$8,0)),0)</f>
        <v>1</v>
      </c>
      <c r="I49" s="28" t="n">
        <f aca="false">IFERROR(INDEX(Config!$C$3:$C$8,MATCH($G49,Config!$A$3:$A$8,0)),0)</f>
        <v>1</v>
      </c>
      <c r="J49" s="25" t="s">
        <v>253</v>
      </c>
    </row>
    <row r="50" customFormat="false" ht="15" hidden="false" customHeight="true" outlineLevel="0" collapsed="false">
      <c r="A50" s="23" t="n">
        <v>49</v>
      </c>
      <c r="B50" s="23" t="s">
        <v>26</v>
      </c>
      <c r="C50" s="23" t="s">
        <v>42</v>
      </c>
      <c r="D50" s="23" t="s">
        <v>43</v>
      </c>
      <c r="E50" s="24" t="s">
        <v>254</v>
      </c>
      <c r="F50" s="25" t="s">
        <v>255</v>
      </c>
      <c r="G50" s="26" t="s">
        <v>14</v>
      </c>
      <c r="H50" s="27" t="n">
        <f aca="false">IFERROR(INDEX(Config!$B$3:$B$8,MATCH($G50,Config!$A$3:$A$8,0)),0)</f>
        <v>0.5</v>
      </c>
      <c r="I50" s="28" t="n">
        <f aca="false">IFERROR(INDEX(Config!$C$3:$C$8,MATCH($G50,Config!$A$3:$A$8,0)),0)</f>
        <v>1</v>
      </c>
      <c r="J50" s="25" t="s">
        <v>256</v>
      </c>
    </row>
    <row r="51" customFormat="false" ht="15" hidden="false" customHeight="true" outlineLevel="0" collapsed="false">
      <c r="A51" s="23" t="n">
        <v>50</v>
      </c>
      <c r="B51" s="23" t="s">
        <v>26</v>
      </c>
      <c r="C51" s="23" t="s">
        <v>42</v>
      </c>
      <c r="D51" s="23" t="s">
        <v>43</v>
      </c>
      <c r="E51" s="24" t="s">
        <v>257</v>
      </c>
      <c r="F51" s="25" t="s">
        <v>226</v>
      </c>
      <c r="G51" s="26" t="s">
        <v>15</v>
      </c>
      <c r="H51" s="27" t="n">
        <f aca="false">IFERROR(INDEX(Config!$B$3:$B$8,MATCH($G51,Config!$A$3:$A$8,0)),0)</f>
        <v>0</v>
      </c>
      <c r="I51" s="28" t="n">
        <f aca="false">IFERROR(INDEX(Config!$C$3:$C$8,MATCH($G51,Config!$A$3:$A$8,0)),0)</f>
        <v>1</v>
      </c>
      <c r="J51" s="25"/>
    </row>
    <row r="52" customFormat="false" ht="23.25" hidden="false" customHeight="true" outlineLevel="0" collapsed="false">
      <c r="A52" s="23" t="n">
        <v>51</v>
      </c>
      <c r="B52" s="23" t="s">
        <v>26</v>
      </c>
      <c r="C52" s="23" t="s">
        <v>44</v>
      </c>
      <c r="D52" s="23" t="s">
        <v>45</v>
      </c>
      <c r="E52" s="24" t="s">
        <v>258</v>
      </c>
      <c r="F52" s="25" t="s">
        <v>259</v>
      </c>
      <c r="G52" s="26" t="s">
        <v>15</v>
      </c>
      <c r="H52" s="27" t="n">
        <f aca="false">IFERROR(INDEX(Config!$B$3:$B$8,MATCH($G52,Config!$A$3:$A$8,0)),0)</f>
        <v>0</v>
      </c>
      <c r="I52" s="28" t="n">
        <f aca="false">IFERROR(INDEX(Config!$C$3:$C$8,MATCH($G52,Config!$A$3:$A$8,0)),0)</f>
        <v>1</v>
      </c>
      <c r="J52" s="25"/>
    </row>
    <row r="53" customFormat="false" ht="15" hidden="false" customHeight="true" outlineLevel="0" collapsed="false">
      <c r="A53" s="23" t="n">
        <v>52</v>
      </c>
      <c r="B53" s="23" t="s">
        <v>26</v>
      </c>
      <c r="C53" s="23" t="s">
        <v>44</v>
      </c>
      <c r="D53" s="23" t="s">
        <v>45</v>
      </c>
      <c r="E53" s="24" t="s">
        <v>260</v>
      </c>
      <c r="F53" s="25" t="s">
        <v>261</v>
      </c>
      <c r="G53" s="26" t="s">
        <v>15</v>
      </c>
      <c r="H53" s="27" t="n">
        <f aca="false">IFERROR(INDEX(Config!$B$3:$B$8,MATCH($G53,Config!$A$3:$A$8,0)),0)</f>
        <v>0</v>
      </c>
      <c r="I53" s="28" t="n">
        <f aca="false">IFERROR(INDEX(Config!$C$3:$C$8,MATCH($G53,Config!$A$3:$A$8,0)),0)</f>
        <v>1</v>
      </c>
      <c r="J53" s="25" t="s">
        <v>262</v>
      </c>
    </row>
    <row r="54" customFormat="false" ht="15" hidden="false" customHeight="true" outlineLevel="0" collapsed="false">
      <c r="A54" s="23" t="n">
        <v>53</v>
      </c>
      <c r="B54" s="23" t="s">
        <v>26</v>
      </c>
      <c r="C54" s="23" t="s">
        <v>44</v>
      </c>
      <c r="D54" s="23" t="s">
        <v>45</v>
      </c>
      <c r="E54" s="24" t="s">
        <v>263</v>
      </c>
      <c r="F54" s="25" t="s">
        <v>264</v>
      </c>
      <c r="G54" s="26" t="s">
        <v>15</v>
      </c>
      <c r="H54" s="27" t="n">
        <f aca="false">IFERROR(INDEX(Config!$B$3:$B$8,MATCH($G54,Config!$A$3:$A$8,0)),0)</f>
        <v>0</v>
      </c>
      <c r="I54" s="28" t="n">
        <f aca="false">IFERROR(INDEX(Config!$C$3:$C$8,MATCH($G54,Config!$A$3:$A$8,0)),0)</f>
        <v>1</v>
      </c>
      <c r="J54" s="25" t="s">
        <v>265</v>
      </c>
    </row>
    <row r="55" customFormat="false" ht="15" hidden="false" customHeight="true" outlineLevel="0" collapsed="false">
      <c r="A55" s="23" t="n">
        <v>54</v>
      </c>
      <c r="B55" s="23" t="s">
        <v>26</v>
      </c>
      <c r="C55" s="23" t="s">
        <v>44</v>
      </c>
      <c r="D55" s="23" t="s">
        <v>45</v>
      </c>
      <c r="E55" s="24" t="s">
        <v>266</v>
      </c>
      <c r="F55" s="25" t="s">
        <v>267</v>
      </c>
      <c r="G55" s="26" t="s">
        <v>15</v>
      </c>
      <c r="H55" s="27" t="n">
        <f aca="false">IFERROR(INDEX(Config!$B$3:$B$8,MATCH($G55,Config!$A$3:$A$8,0)),0)</f>
        <v>0</v>
      </c>
      <c r="I55" s="28" t="n">
        <f aca="false">IFERROR(INDEX(Config!$C$3:$C$8,MATCH($G55,Config!$A$3:$A$8,0)),0)</f>
        <v>1</v>
      </c>
      <c r="J55" s="25" t="s">
        <v>268</v>
      </c>
    </row>
    <row r="56" customFormat="false" ht="15" hidden="false" customHeight="true" outlineLevel="0" collapsed="false">
      <c r="A56" s="23" t="n">
        <v>55</v>
      </c>
      <c r="B56" s="23" t="s">
        <v>26</v>
      </c>
      <c r="C56" s="23" t="s">
        <v>44</v>
      </c>
      <c r="D56" s="23" t="s">
        <v>45</v>
      </c>
      <c r="E56" s="24" t="s">
        <v>269</v>
      </c>
      <c r="F56" s="25" t="s">
        <v>270</v>
      </c>
      <c r="G56" s="26" t="s">
        <v>15</v>
      </c>
      <c r="H56" s="27" t="n">
        <f aca="false">IFERROR(INDEX(Config!$B$3:$B$8,MATCH($G56,Config!$A$3:$A$8,0)),0)</f>
        <v>0</v>
      </c>
      <c r="I56" s="28" t="n">
        <f aca="false">IFERROR(INDEX(Config!$C$3:$C$8,MATCH($G56,Config!$A$3:$A$8,0)),0)</f>
        <v>1</v>
      </c>
      <c r="J56" s="25" t="s">
        <v>271</v>
      </c>
    </row>
    <row r="57" customFormat="false" ht="23.25" hidden="false" customHeight="true" outlineLevel="0" collapsed="false">
      <c r="A57" s="23" t="n">
        <v>56</v>
      </c>
      <c r="B57" s="23" t="s">
        <v>26</v>
      </c>
      <c r="C57" s="23" t="s">
        <v>44</v>
      </c>
      <c r="D57" s="23" t="s">
        <v>45</v>
      </c>
      <c r="E57" s="24" t="s">
        <v>272</v>
      </c>
      <c r="F57" s="25" t="s">
        <v>273</v>
      </c>
      <c r="G57" s="26" t="s">
        <v>15</v>
      </c>
      <c r="H57" s="27" t="n">
        <f aca="false">IFERROR(INDEX(Config!$B$3:$B$8,MATCH($G57,Config!$A$3:$A$8,0)),0)</f>
        <v>0</v>
      </c>
      <c r="I57" s="28" t="n">
        <f aca="false">IFERROR(INDEX(Config!$C$3:$C$8,MATCH($G57,Config!$A$3:$A$8,0)),0)</f>
        <v>1</v>
      </c>
      <c r="J57" s="25" t="s">
        <v>274</v>
      </c>
    </row>
    <row r="58" customFormat="false" ht="23.25" hidden="false" customHeight="true" outlineLevel="0" collapsed="false">
      <c r="A58" s="23" t="n">
        <v>57</v>
      </c>
      <c r="B58" s="23" t="s">
        <v>26</v>
      </c>
      <c r="C58" s="23" t="s">
        <v>44</v>
      </c>
      <c r="D58" s="23" t="s">
        <v>45</v>
      </c>
      <c r="E58" s="24" t="s">
        <v>275</v>
      </c>
      <c r="F58" s="25" t="s">
        <v>276</v>
      </c>
      <c r="G58" s="26" t="s">
        <v>14</v>
      </c>
      <c r="H58" s="27" t="n">
        <f aca="false">IFERROR(INDEX(Config!$B$3:$B$8,MATCH($G58,Config!$A$3:$A$8,0)),0)</f>
        <v>0.5</v>
      </c>
      <c r="I58" s="28" t="n">
        <f aca="false">IFERROR(INDEX(Config!$C$3:$C$8,MATCH($G58,Config!$A$3:$A$8,0)),0)</f>
        <v>1</v>
      </c>
      <c r="J58" s="25" t="s">
        <v>277</v>
      </c>
    </row>
    <row r="59" customFormat="false" ht="23.25" hidden="false" customHeight="true" outlineLevel="0" collapsed="false">
      <c r="A59" s="23" t="n">
        <v>58</v>
      </c>
      <c r="B59" s="23" t="s">
        <v>26</v>
      </c>
      <c r="C59" s="23" t="s">
        <v>44</v>
      </c>
      <c r="D59" s="23" t="s">
        <v>45</v>
      </c>
      <c r="E59" s="24" t="s">
        <v>278</v>
      </c>
      <c r="F59" s="25" t="s">
        <v>279</v>
      </c>
      <c r="G59" s="26" t="s">
        <v>15</v>
      </c>
      <c r="H59" s="27" t="n">
        <f aca="false">IFERROR(INDEX(Config!$B$3:$B$8,MATCH($G59,Config!$A$3:$A$8,0)),0)</f>
        <v>0</v>
      </c>
      <c r="I59" s="28" t="n">
        <f aca="false">IFERROR(INDEX(Config!$C$3:$C$8,MATCH($G59,Config!$A$3:$A$8,0)),0)</f>
        <v>1</v>
      </c>
      <c r="J59" s="25"/>
    </row>
    <row r="60" customFormat="false" ht="15" hidden="false" customHeight="true" outlineLevel="0" collapsed="false">
      <c r="A60" s="23" t="n">
        <v>59</v>
      </c>
      <c r="B60" s="23" t="s">
        <v>26</v>
      </c>
      <c r="C60" s="23" t="s">
        <v>44</v>
      </c>
      <c r="D60" s="23" t="s">
        <v>45</v>
      </c>
      <c r="E60" s="24" t="s">
        <v>280</v>
      </c>
      <c r="F60" s="25" t="s">
        <v>226</v>
      </c>
      <c r="G60" s="26" t="s">
        <v>15</v>
      </c>
      <c r="H60" s="27" t="n">
        <f aca="false">IFERROR(INDEX(Config!$B$3:$B$8,MATCH($G60,Config!$A$3:$A$8,0)),0)</f>
        <v>0</v>
      </c>
      <c r="I60" s="28" t="n">
        <f aca="false">IFERROR(INDEX(Config!$C$3:$C$8,MATCH($G60,Config!$A$3:$A$8,0)),0)</f>
        <v>1</v>
      </c>
      <c r="J60" s="25"/>
    </row>
    <row r="61" customFormat="false" ht="23.25" hidden="false" customHeight="true" outlineLevel="0" collapsed="false">
      <c r="A61" s="23" t="n">
        <v>60</v>
      </c>
      <c r="B61" s="23" t="s">
        <v>26</v>
      </c>
      <c r="C61" s="23" t="s">
        <v>46</v>
      </c>
      <c r="D61" s="23" t="s">
        <v>47</v>
      </c>
      <c r="E61" s="24" t="s">
        <v>281</v>
      </c>
      <c r="F61" s="25" t="s">
        <v>282</v>
      </c>
      <c r="G61" s="26" t="s">
        <v>13</v>
      </c>
      <c r="H61" s="27" t="n">
        <f aca="false">IFERROR(INDEX(Config!$B$3:$B$8,MATCH($G61,Config!$A$3:$A$8,0)),0)</f>
        <v>1</v>
      </c>
      <c r="I61" s="28" t="n">
        <f aca="false">IFERROR(INDEX(Config!$C$3:$C$8,MATCH($G61,Config!$A$3:$A$8,0)),0)</f>
        <v>1</v>
      </c>
      <c r="J61" s="25" t="s">
        <v>283</v>
      </c>
    </row>
    <row r="62" customFormat="false" ht="23.25" hidden="false" customHeight="true" outlineLevel="0" collapsed="false">
      <c r="A62" s="23" t="n">
        <v>61</v>
      </c>
      <c r="B62" s="23" t="s">
        <v>26</v>
      </c>
      <c r="C62" s="23" t="s">
        <v>46</v>
      </c>
      <c r="D62" s="23" t="s">
        <v>47</v>
      </c>
      <c r="E62" s="24" t="s">
        <v>284</v>
      </c>
      <c r="F62" s="25" t="s">
        <v>285</v>
      </c>
      <c r="G62" s="26" t="s">
        <v>13</v>
      </c>
      <c r="H62" s="27" t="n">
        <f aca="false">IFERROR(INDEX(Config!$B$3:$B$8,MATCH($G62,Config!$A$3:$A$8,0)),0)</f>
        <v>1</v>
      </c>
      <c r="I62" s="28" t="n">
        <f aca="false">IFERROR(INDEX(Config!$C$3:$C$8,MATCH($G62,Config!$A$3:$A$8,0)),0)</f>
        <v>1</v>
      </c>
      <c r="J62" s="25" t="s">
        <v>286</v>
      </c>
    </row>
    <row r="63" customFormat="false" ht="15" hidden="false" customHeight="true" outlineLevel="0" collapsed="false">
      <c r="A63" s="23" t="n">
        <v>62</v>
      </c>
      <c r="B63" s="23" t="s">
        <v>26</v>
      </c>
      <c r="C63" s="23" t="s">
        <v>46</v>
      </c>
      <c r="D63" s="23" t="s">
        <v>47</v>
      </c>
      <c r="E63" s="24" t="s">
        <v>287</v>
      </c>
      <c r="F63" s="25" t="s">
        <v>288</v>
      </c>
      <c r="G63" s="26" t="s">
        <v>13</v>
      </c>
      <c r="H63" s="27" t="n">
        <f aca="false">IFERROR(INDEX(Config!$B$3:$B$8,MATCH($G63,Config!$A$3:$A$8,0)),0)</f>
        <v>1</v>
      </c>
      <c r="I63" s="28" t="n">
        <f aca="false">IFERROR(INDEX(Config!$C$3:$C$8,MATCH($G63,Config!$A$3:$A$8,0)),0)</f>
        <v>1</v>
      </c>
      <c r="J63" s="25" t="s">
        <v>289</v>
      </c>
    </row>
    <row r="64" customFormat="false" ht="15" hidden="false" customHeight="true" outlineLevel="0" collapsed="false">
      <c r="A64" s="23" t="n">
        <v>63</v>
      </c>
      <c r="B64" s="23" t="s">
        <v>26</v>
      </c>
      <c r="C64" s="23" t="s">
        <v>46</v>
      </c>
      <c r="D64" s="23" t="s">
        <v>47</v>
      </c>
      <c r="E64" s="24" t="s">
        <v>290</v>
      </c>
      <c r="F64" s="25" t="s">
        <v>291</v>
      </c>
      <c r="G64" s="26" t="s">
        <v>13</v>
      </c>
      <c r="H64" s="27" t="n">
        <f aca="false">IFERROR(INDEX(Config!$B$3:$B$8,MATCH($G64,Config!$A$3:$A$8,0)),0)</f>
        <v>1</v>
      </c>
      <c r="I64" s="28" t="n">
        <f aca="false">IFERROR(INDEX(Config!$C$3:$C$8,MATCH($G64,Config!$A$3:$A$8,0)),0)</f>
        <v>1</v>
      </c>
      <c r="J64" s="25" t="s">
        <v>292</v>
      </c>
    </row>
    <row r="65" customFormat="false" ht="15" hidden="false" customHeight="true" outlineLevel="0" collapsed="false">
      <c r="A65" s="23" t="n">
        <v>64</v>
      </c>
      <c r="B65" s="23" t="s">
        <v>26</v>
      </c>
      <c r="C65" s="23" t="s">
        <v>46</v>
      </c>
      <c r="D65" s="23" t="s">
        <v>47</v>
      </c>
      <c r="E65" s="24" t="s">
        <v>293</v>
      </c>
      <c r="F65" s="25" t="s">
        <v>294</v>
      </c>
      <c r="G65" s="26" t="s">
        <v>13</v>
      </c>
      <c r="H65" s="27" t="n">
        <f aca="false">IFERROR(INDEX(Config!$B$3:$B$8,MATCH($G65,Config!$A$3:$A$8,0)),0)</f>
        <v>1</v>
      </c>
      <c r="I65" s="28" t="n">
        <f aca="false">IFERROR(INDEX(Config!$C$3:$C$8,MATCH($G65,Config!$A$3:$A$8,0)),0)</f>
        <v>1</v>
      </c>
      <c r="J65" s="25" t="s">
        <v>295</v>
      </c>
    </row>
    <row r="66" customFormat="false" ht="23.25" hidden="false" customHeight="true" outlineLevel="0" collapsed="false">
      <c r="A66" s="23" t="n">
        <v>65</v>
      </c>
      <c r="B66" s="23" t="s">
        <v>26</v>
      </c>
      <c r="C66" s="23" t="s">
        <v>46</v>
      </c>
      <c r="D66" s="23" t="s">
        <v>47</v>
      </c>
      <c r="E66" s="24" t="s">
        <v>296</v>
      </c>
      <c r="F66" s="25" t="s">
        <v>297</v>
      </c>
      <c r="G66" s="26" t="s">
        <v>13</v>
      </c>
      <c r="H66" s="27" t="n">
        <f aca="false">IFERROR(INDEX(Config!$B$3:$B$8,MATCH($G66,Config!$A$3:$A$8,0)),0)</f>
        <v>1</v>
      </c>
      <c r="I66" s="28" t="n">
        <f aca="false">IFERROR(INDEX(Config!$C$3:$C$8,MATCH($G66,Config!$A$3:$A$8,0)),0)</f>
        <v>1</v>
      </c>
      <c r="J66" s="25" t="s">
        <v>298</v>
      </c>
    </row>
    <row r="67" customFormat="false" ht="23.25" hidden="false" customHeight="true" outlineLevel="0" collapsed="false">
      <c r="A67" s="23" t="n">
        <v>66</v>
      </c>
      <c r="B67" s="23" t="s">
        <v>26</v>
      </c>
      <c r="C67" s="23" t="s">
        <v>46</v>
      </c>
      <c r="D67" s="23" t="s">
        <v>47</v>
      </c>
      <c r="E67" s="24" t="s">
        <v>299</v>
      </c>
      <c r="F67" s="25" t="s">
        <v>300</v>
      </c>
      <c r="G67" s="26" t="s">
        <v>13</v>
      </c>
      <c r="H67" s="27" t="n">
        <f aca="false">IFERROR(INDEX(Config!$B$3:$B$8,MATCH($G67,Config!$A$3:$A$8,0)),0)</f>
        <v>1</v>
      </c>
      <c r="I67" s="28" t="n">
        <f aca="false">IFERROR(INDEX(Config!$C$3:$C$8,MATCH($G67,Config!$A$3:$A$8,0)),0)</f>
        <v>1</v>
      </c>
      <c r="J67" s="25" t="s">
        <v>301</v>
      </c>
    </row>
    <row r="68" customFormat="false" ht="23.25" hidden="false" customHeight="true" outlineLevel="0" collapsed="false">
      <c r="A68" s="23" t="n">
        <v>67</v>
      </c>
      <c r="B68" s="23" t="s">
        <v>26</v>
      </c>
      <c r="C68" s="23" t="s">
        <v>46</v>
      </c>
      <c r="D68" s="23" t="s">
        <v>47</v>
      </c>
      <c r="E68" s="24" t="s">
        <v>302</v>
      </c>
      <c r="F68" s="25" t="s">
        <v>303</v>
      </c>
      <c r="G68" s="26" t="s">
        <v>13</v>
      </c>
      <c r="H68" s="27" t="n">
        <f aca="false">IFERROR(INDEX(Config!$B$3:$B$8,MATCH($G68,Config!$A$3:$A$8,0)),0)</f>
        <v>1</v>
      </c>
      <c r="I68" s="28" t="n">
        <f aca="false">IFERROR(INDEX(Config!$C$3:$C$8,MATCH($G68,Config!$A$3:$A$8,0)),0)</f>
        <v>1</v>
      </c>
      <c r="J68" s="25" t="s">
        <v>304</v>
      </c>
    </row>
    <row r="69" customFormat="false" ht="23.25" hidden="false" customHeight="true" outlineLevel="0" collapsed="false">
      <c r="A69" s="23" t="n">
        <v>68</v>
      </c>
      <c r="B69" s="23" t="s">
        <v>26</v>
      </c>
      <c r="C69" s="23" t="s">
        <v>46</v>
      </c>
      <c r="D69" s="23" t="s">
        <v>47</v>
      </c>
      <c r="E69" s="24" t="s">
        <v>305</v>
      </c>
      <c r="F69" s="25" t="s">
        <v>306</v>
      </c>
      <c r="G69" s="26" t="s">
        <v>15</v>
      </c>
      <c r="H69" s="27" t="n">
        <f aca="false">IFERROR(INDEX(Config!$B$3:$B$8,MATCH($G69,Config!$A$3:$A$8,0)),0)</f>
        <v>0</v>
      </c>
      <c r="I69" s="28" t="n">
        <f aca="false">IFERROR(INDEX(Config!$C$3:$C$8,MATCH($G69,Config!$A$3:$A$8,0)),0)</f>
        <v>1</v>
      </c>
      <c r="J69" s="25"/>
    </row>
    <row r="70" customFormat="false" ht="15" hidden="false" customHeight="true" outlineLevel="0" collapsed="false">
      <c r="A70" s="23" t="n">
        <v>69</v>
      </c>
      <c r="B70" s="23" t="s">
        <v>26</v>
      </c>
      <c r="C70" s="23" t="s">
        <v>46</v>
      </c>
      <c r="D70" s="23" t="s">
        <v>47</v>
      </c>
      <c r="E70" s="24" t="s">
        <v>307</v>
      </c>
      <c r="F70" s="25" t="s">
        <v>308</v>
      </c>
      <c r="G70" s="26" t="s">
        <v>15</v>
      </c>
      <c r="H70" s="27" t="n">
        <f aca="false">IFERROR(INDEX(Config!$B$3:$B$8,MATCH($G70,Config!$A$3:$A$8,0)),0)</f>
        <v>0</v>
      </c>
      <c r="I70" s="28" t="n">
        <f aca="false">IFERROR(INDEX(Config!$C$3:$C$8,MATCH($G70,Config!$A$3:$A$8,0)),0)</f>
        <v>1</v>
      </c>
      <c r="J70" s="25" t="s">
        <v>309</v>
      </c>
    </row>
    <row r="71" customFormat="false" ht="23.25" hidden="false" customHeight="true" outlineLevel="0" collapsed="false">
      <c r="A71" s="23" t="n">
        <v>70</v>
      </c>
      <c r="B71" s="23" t="s">
        <v>26</v>
      </c>
      <c r="C71" s="23" t="s">
        <v>46</v>
      </c>
      <c r="D71" s="23" t="s">
        <v>47</v>
      </c>
      <c r="E71" s="24" t="s">
        <v>310</v>
      </c>
      <c r="F71" s="25" t="s">
        <v>311</v>
      </c>
      <c r="G71" s="26" t="s">
        <v>15</v>
      </c>
      <c r="H71" s="27" t="n">
        <f aca="false">IFERROR(INDEX(Config!$B$3:$B$8,MATCH($G71,Config!$A$3:$A$8,0)),0)</f>
        <v>0</v>
      </c>
      <c r="I71" s="28" t="n">
        <f aca="false">IFERROR(INDEX(Config!$C$3:$C$8,MATCH($G71,Config!$A$3:$A$8,0)),0)</f>
        <v>1</v>
      </c>
      <c r="J71" s="25"/>
    </row>
    <row r="72" customFormat="false" ht="23.25" hidden="false" customHeight="true" outlineLevel="0" collapsed="false">
      <c r="A72" s="23" t="n">
        <v>71</v>
      </c>
      <c r="B72" s="23" t="s">
        <v>26</v>
      </c>
      <c r="C72" s="23" t="s">
        <v>46</v>
      </c>
      <c r="D72" s="23" t="s">
        <v>47</v>
      </c>
      <c r="E72" s="24" t="s">
        <v>312</v>
      </c>
      <c r="F72" s="25" t="s">
        <v>313</v>
      </c>
      <c r="G72" s="26" t="s">
        <v>14</v>
      </c>
      <c r="H72" s="27" t="n">
        <f aca="false">IFERROR(INDEX(Config!$B$3:$B$8,MATCH($G72,Config!$A$3:$A$8,0)),0)</f>
        <v>0.5</v>
      </c>
      <c r="I72" s="28" t="n">
        <f aca="false">IFERROR(INDEX(Config!$C$3:$C$8,MATCH($G72,Config!$A$3:$A$8,0)),0)</f>
        <v>1</v>
      </c>
      <c r="J72" s="25" t="s">
        <v>314</v>
      </c>
    </row>
    <row r="73" customFormat="false" ht="15" hidden="false" customHeight="true" outlineLevel="0" collapsed="false">
      <c r="A73" s="23" t="n">
        <v>72</v>
      </c>
      <c r="B73" s="23" t="s">
        <v>26</v>
      </c>
      <c r="C73" s="23" t="s">
        <v>46</v>
      </c>
      <c r="D73" s="23" t="s">
        <v>47</v>
      </c>
      <c r="E73" s="24" t="s">
        <v>315</v>
      </c>
      <c r="F73" s="25" t="s">
        <v>316</v>
      </c>
      <c r="G73" s="26" t="s">
        <v>15</v>
      </c>
      <c r="H73" s="27" t="n">
        <f aca="false">IFERROR(INDEX(Config!$B$3:$B$8,MATCH($G73,Config!$A$3:$A$8,0)),0)</f>
        <v>0</v>
      </c>
      <c r="I73" s="28" t="n">
        <f aca="false">IFERROR(INDEX(Config!$C$3:$C$8,MATCH($G73,Config!$A$3:$A$8,0)),0)</f>
        <v>1</v>
      </c>
      <c r="J73" s="25"/>
    </row>
    <row r="74" customFormat="false" ht="15" hidden="false" customHeight="true" outlineLevel="0" collapsed="false">
      <c r="A74" s="23" t="n">
        <v>73</v>
      </c>
      <c r="B74" s="23" t="s">
        <v>26</v>
      </c>
      <c r="C74" s="23" t="s">
        <v>46</v>
      </c>
      <c r="D74" s="23" t="s">
        <v>47</v>
      </c>
      <c r="E74" s="24" t="s">
        <v>317</v>
      </c>
      <c r="F74" s="25" t="s">
        <v>226</v>
      </c>
      <c r="G74" s="26" t="s">
        <v>15</v>
      </c>
      <c r="H74" s="27" t="n">
        <f aca="false">IFERROR(INDEX(Config!$B$3:$B$8,MATCH($G74,Config!$A$3:$A$8,0)),0)</f>
        <v>0</v>
      </c>
      <c r="I74" s="28" t="n">
        <f aca="false">IFERROR(INDEX(Config!$C$3:$C$8,MATCH($G74,Config!$A$3:$A$8,0)),0)</f>
        <v>1</v>
      </c>
      <c r="J74" s="25"/>
    </row>
    <row r="75" customFormat="false" ht="45.75" hidden="false" customHeight="true" outlineLevel="0" collapsed="false">
      <c r="A75" s="23" t="n">
        <v>74</v>
      </c>
      <c r="B75" s="23" t="s">
        <v>26</v>
      </c>
      <c r="C75" s="23" t="s">
        <v>48</v>
      </c>
      <c r="D75" s="23" t="s">
        <v>49</v>
      </c>
      <c r="E75" s="24" t="s">
        <v>318</v>
      </c>
      <c r="F75" s="25" t="s">
        <v>319</v>
      </c>
      <c r="G75" s="26" t="s">
        <v>13</v>
      </c>
      <c r="H75" s="27" t="n">
        <f aca="false">IFERROR(INDEX(Config!$B$3:$B$8,MATCH($G75,Config!$A$3:$A$8,0)),0)</f>
        <v>1</v>
      </c>
      <c r="I75" s="28" t="n">
        <f aca="false">IFERROR(INDEX(Config!$C$3:$C$8,MATCH($G75,Config!$A$3:$A$8,0)),0)</f>
        <v>1</v>
      </c>
      <c r="J75" s="25" t="s">
        <v>320</v>
      </c>
    </row>
    <row r="76" customFormat="false" ht="57" hidden="false" customHeight="true" outlineLevel="0" collapsed="false">
      <c r="A76" s="23" t="n">
        <v>75</v>
      </c>
      <c r="B76" s="23" t="s">
        <v>26</v>
      </c>
      <c r="C76" s="23" t="s">
        <v>48</v>
      </c>
      <c r="D76" s="23" t="s">
        <v>49</v>
      </c>
      <c r="E76" s="24" t="s">
        <v>321</v>
      </c>
      <c r="F76" s="25" t="s">
        <v>322</v>
      </c>
      <c r="G76" s="26" t="s">
        <v>13</v>
      </c>
      <c r="H76" s="27" t="n">
        <f aca="false">IFERROR(INDEX(Config!$B$3:$B$8,MATCH($G76,Config!$A$3:$A$8,0)),0)</f>
        <v>1</v>
      </c>
      <c r="I76" s="28" t="n">
        <f aca="false">IFERROR(INDEX(Config!$C$3:$C$8,MATCH($G76,Config!$A$3:$A$8,0)),0)</f>
        <v>1</v>
      </c>
      <c r="J76" s="25" t="s">
        <v>323</v>
      </c>
    </row>
    <row r="77" customFormat="false" ht="57" hidden="false" customHeight="true" outlineLevel="0" collapsed="false">
      <c r="A77" s="23" t="n">
        <v>76</v>
      </c>
      <c r="B77" s="23" t="s">
        <v>26</v>
      </c>
      <c r="C77" s="23" t="s">
        <v>48</v>
      </c>
      <c r="D77" s="23" t="s">
        <v>49</v>
      </c>
      <c r="E77" s="24" t="s">
        <v>324</v>
      </c>
      <c r="F77" s="25" t="s">
        <v>325</v>
      </c>
      <c r="G77" s="26" t="s">
        <v>13</v>
      </c>
      <c r="H77" s="27" t="n">
        <f aca="false">IFERROR(INDEX(Config!$B$3:$B$8,MATCH($G77,Config!$A$3:$A$8,0)),0)</f>
        <v>1</v>
      </c>
      <c r="I77" s="28" t="n">
        <f aca="false">IFERROR(INDEX(Config!$C$3:$C$8,MATCH($G77,Config!$A$3:$A$8,0)),0)</f>
        <v>1</v>
      </c>
      <c r="J77" s="25" t="s">
        <v>326</v>
      </c>
    </row>
    <row r="78" customFormat="false" ht="23.25" hidden="false" customHeight="true" outlineLevel="0" collapsed="false">
      <c r="A78" s="23" t="n">
        <v>77</v>
      </c>
      <c r="B78" s="23" t="s">
        <v>26</v>
      </c>
      <c r="C78" s="23" t="s">
        <v>48</v>
      </c>
      <c r="D78" s="23" t="s">
        <v>49</v>
      </c>
      <c r="E78" s="24" t="s">
        <v>327</v>
      </c>
      <c r="F78" s="25" t="s">
        <v>328</v>
      </c>
      <c r="G78" s="26" t="s">
        <v>13</v>
      </c>
      <c r="H78" s="27" t="n">
        <f aca="false">IFERROR(INDEX(Config!$B$3:$B$8,MATCH($G78,Config!$A$3:$A$8,0)),0)</f>
        <v>1</v>
      </c>
      <c r="I78" s="28" t="n">
        <f aca="false">IFERROR(INDEX(Config!$C$3:$C$8,MATCH($G78,Config!$A$3:$A$8,0)),0)</f>
        <v>1</v>
      </c>
      <c r="J78" s="25" t="s">
        <v>329</v>
      </c>
    </row>
    <row r="79" customFormat="false" ht="23.25" hidden="false" customHeight="true" outlineLevel="0" collapsed="false">
      <c r="A79" s="23" t="n">
        <v>78</v>
      </c>
      <c r="B79" s="23" t="s">
        <v>26</v>
      </c>
      <c r="C79" s="23" t="s">
        <v>48</v>
      </c>
      <c r="D79" s="23" t="s">
        <v>49</v>
      </c>
      <c r="E79" s="24" t="s">
        <v>330</v>
      </c>
      <c r="F79" s="25" t="s">
        <v>331</v>
      </c>
      <c r="G79" s="26" t="s">
        <v>13</v>
      </c>
      <c r="H79" s="27" t="n">
        <f aca="false">IFERROR(INDEX(Config!$B$3:$B$8,MATCH($G79,Config!$A$3:$A$8,0)),0)</f>
        <v>1</v>
      </c>
      <c r="I79" s="28" t="n">
        <f aca="false">IFERROR(INDEX(Config!$C$3:$C$8,MATCH($G79,Config!$A$3:$A$8,0)),0)</f>
        <v>1</v>
      </c>
      <c r="J79" s="25" t="s">
        <v>332</v>
      </c>
    </row>
    <row r="80" customFormat="false" ht="57" hidden="false" customHeight="true" outlineLevel="0" collapsed="false">
      <c r="A80" s="23" t="n">
        <v>79</v>
      </c>
      <c r="B80" s="23" t="s">
        <v>26</v>
      </c>
      <c r="C80" s="23" t="s">
        <v>48</v>
      </c>
      <c r="D80" s="23" t="s">
        <v>49</v>
      </c>
      <c r="E80" s="24" t="s">
        <v>333</v>
      </c>
      <c r="F80" s="25" t="s">
        <v>334</v>
      </c>
      <c r="G80" s="26" t="s">
        <v>13</v>
      </c>
      <c r="H80" s="27" t="n">
        <f aca="false">IFERROR(INDEX(Config!$B$3:$B$8,MATCH($G80,Config!$A$3:$A$8,0)),0)</f>
        <v>1</v>
      </c>
      <c r="I80" s="28" t="n">
        <f aca="false">IFERROR(INDEX(Config!$C$3:$C$8,MATCH($G80,Config!$A$3:$A$8,0)),0)</f>
        <v>1</v>
      </c>
      <c r="J80" s="25" t="s">
        <v>335</v>
      </c>
    </row>
    <row r="81" customFormat="false" ht="57" hidden="false" customHeight="true" outlineLevel="0" collapsed="false">
      <c r="A81" s="23" t="n">
        <v>80</v>
      </c>
      <c r="B81" s="23" t="s">
        <v>26</v>
      </c>
      <c r="C81" s="23" t="s">
        <v>48</v>
      </c>
      <c r="D81" s="23" t="s">
        <v>49</v>
      </c>
      <c r="E81" s="24" t="s">
        <v>336</v>
      </c>
      <c r="F81" s="25" t="s">
        <v>337</v>
      </c>
      <c r="G81" s="26" t="s">
        <v>13</v>
      </c>
      <c r="H81" s="27" t="n">
        <f aca="false">IFERROR(INDEX(Config!$B$3:$B$8,MATCH($G81,Config!$A$3:$A$8,0)),0)</f>
        <v>1</v>
      </c>
      <c r="I81" s="28" t="n">
        <f aca="false">IFERROR(INDEX(Config!$C$3:$C$8,MATCH($G81,Config!$A$3:$A$8,0)),0)</f>
        <v>1</v>
      </c>
      <c r="J81" s="25" t="s">
        <v>338</v>
      </c>
    </row>
    <row r="82" customFormat="false" ht="23.25" hidden="false" customHeight="true" outlineLevel="0" collapsed="false">
      <c r="A82" s="23" t="n">
        <v>81</v>
      </c>
      <c r="B82" s="23" t="s">
        <v>26</v>
      </c>
      <c r="C82" s="23" t="s">
        <v>48</v>
      </c>
      <c r="D82" s="23" t="s">
        <v>49</v>
      </c>
      <c r="E82" s="24" t="s">
        <v>339</v>
      </c>
      <c r="F82" s="25" t="s">
        <v>340</v>
      </c>
      <c r="G82" s="26" t="s">
        <v>13</v>
      </c>
      <c r="H82" s="27" t="n">
        <f aca="false">IFERROR(INDEX(Config!$B$3:$B$8,MATCH($G82,Config!$A$3:$A$8,0)),0)</f>
        <v>1</v>
      </c>
      <c r="I82" s="28" t="n">
        <f aca="false">IFERROR(INDEX(Config!$C$3:$C$8,MATCH($G82,Config!$A$3:$A$8,0)),0)</f>
        <v>1</v>
      </c>
      <c r="J82" s="25" t="s">
        <v>341</v>
      </c>
    </row>
    <row r="83" customFormat="false" ht="15" hidden="false" customHeight="true" outlineLevel="0" collapsed="false">
      <c r="A83" s="23" t="n">
        <v>82</v>
      </c>
      <c r="B83" s="23" t="s">
        <v>26</v>
      </c>
      <c r="C83" s="23" t="s">
        <v>48</v>
      </c>
      <c r="D83" s="23" t="s">
        <v>49</v>
      </c>
      <c r="E83" s="24" t="s">
        <v>342</v>
      </c>
      <c r="F83" s="25" t="s">
        <v>343</v>
      </c>
      <c r="G83" s="26" t="s">
        <v>15</v>
      </c>
      <c r="H83" s="27" t="n">
        <f aca="false">IFERROR(INDEX(Config!$B$3:$B$8,MATCH($G83,Config!$A$3:$A$8,0)),0)</f>
        <v>0</v>
      </c>
      <c r="I83" s="28" t="n">
        <f aca="false">IFERROR(INDEX(Config!$C$3:$C$8,MATCH($G83,Config!$A$3:$A$8,0)),0)</f>
        <v>1</v>
      </c>
      <c r="J83" s="25" t="s">
        <v>344</v>
      </c>
    </row>
    <row r="84" customFormat="false" ht="23.25" hidden="false" customHeight="true" outlineLevel="0" collapsed="false">
      <c r="A84" s="23" t="n">
        <v>83</v>
      </c>
      <c r="B84" s="23" t="s">
        <v>26</v>
      </c>
      <c r="C84" s="23" t="s">
        <v>48</v>
      </c>
      <c r="D84" s="23" t="s">
        <v>49</v>
      </c>
      <c r="E84" s="24" t="s">
        <v>345</v>
      </c>
      <c r="F84" s="25" t="s">
        <v>346</v>
      </c>
      <c r="G84" s="26" t="s">
        <v>15</v>
      </c>
      <c r="H84" s="27" t="n">
        <f aca="false">IFERROR(INDEX(Config!$B$3:$B$8,MATCH($G84,Config!$A$3:$A$8,0)),0)</f>
        <v>0</v>
      </c>
      <c r="I84" s="28" t="n">
        <f aca="false">IFERROR(INDEX(Config!$C$3:$C$8,MATCH($G84,Config!$A$3:$A$8,0)),0)</f>
        <v>1</v>
      </c>
      <c r="J84" s="25" t="s">
        <v>347</v>
      </c>
    </row>
    <row r="85" customFormat="false" ht="23.25" hidden="false" customHeight="true" outlineLevel="0" collapsed="false">
      <c r="A85" s="23" t="n">
        <v>84</v>
      </c>
      <c r="B85" s="23" t="s">
        <v>26</v>
      </c>
      <c r="C85" s="23" t="s">
        <v>48</v>
      </c>
      <c r="D85" s="23" t="s">
        <v>49</v>
      </c>
      <c r="E85" s="24" t="s">
        <v>348</v>
      </c>
      <c r="F85" s="25" t="s">
        <v>226</v>
      </c>
      <c r="G85" s="26" t="s">
        <v>13</v>
      </c>
      <c r="H85" s="27" t="n">
        <f aca="false">IFERROR(INDEX(Config!$B$3:$B$8,MATCH($G85,Config!$A$3:$A$8,0)),0)</f>
        <v>1</v>
      </c>
      <c r="I85" s="28" t="n">
        <f aca="false">IFERROR(INDEX(Config!$C$3:$C$8,MATCH($G85,Config!$A$3:$A$8,0)),0)</f>
        <v>1</v>
      </c>
      <c r="J85" s="25" t="s">
        <v>349</v>
      </c>
    </row>
    <row r="86" customFormat="false" ht="23.25" hidden="false" customHeight="true" outlineLevel="0" collapsed="false">
      <c r="A86" s="23" t="n">
        <v>85</v>
      </c>
      <c r="B86" s="23" t="s">
        <v>26</v>
      </c>
      <c r="C86" s="23" t="s">
        <v>48</v>
      </c>
      <c r="D86" s="23" t="s">
        <v>49</v>
      </c>
      <c r="E86" s="24" t="s">
        <v>350</v>
      </c>
      <c r="F86" s="25" t="s">
        <v>351</v>
      </c>
      <c r="G86" s="26" t="s">
        <v>13</v>
      </c>
      <c r="H86" s="27" t="n">
        <f aca="false">IFERROR(INDEX(Config!$B$3:$B$8,MATCH($G86,Config!$A$3:$A$8,0)),0)</f>
        <v>1</v>
      </c>
      <c r="I86" s="28" t="n">
        <f aca="false">IFERROR(INDEX(Config!$C$3:$C$8,MATCH($G86,Config!$A$3:$A$8,0)),0)</f>
        <v>1</v>
      </c>
      <c r="J86" s="25" t="s">
        <v>352</v>
      </c>
    </row>
    <row r="87" customFormat="false" ht="23.25" hidden="false" customHeight="true" outlineLevel="0" collapsed="false">
      <c r="A87" s="23" t="n">
        <v>86</v>
      </c>
      <c r="B87" s="23" t="s">
        <v>26</v>
      </c>
      <c r="C87" s="23" t="s">
        <v>48</v>
      </c>
      <c r="D87" s="23" t="s">
        <v>49</v>
      </c>
      <c r="E87" s="24" t="s">
        <v>353</v>
      </c>
      <c r="F87" s="25" t="s">
        <v>354</v>
      </c>
      <c r="G87" s="26" t="s">
        <v>13</v>
      </c>
      <c r="H87" s="27" t="n">
        <f aca="false">IFERROR(INDEX(Config!$B$3:$B$8,MATCH($G87,Config!$A$3:$A$8,0)),0)</f>
        <v>1</v>
      </c>
      <c r="I87" s="28" t="n">
        <f aca="false">IFERROR(INDEX(Config!$C$3:$C$8,MATCH($G87,Config!$A$3:$A$8,0)),0)</f>
        <v>1</v>
      </c>
      <c r="J87" s="25" t="s">
        <v>355</v>
      </c>
    </row>
    <row r="88" customFormat="false" ht="23.25" hidden="false" customHeight="true" outlineLevel="0" collapsed="false">
      <c r="A88" s="23" t="n">
        <v>87</v>
      </c>
      <c r="B88" s="23" t="s">
        <v>26</v>
      </c>
      <c r="C88" s="23" t="s">
        <v>50</v>
      </c>
      <c r="D88" s="23" t="s">
        <v>51</v>
      </c>
      <c r="E88" s="24" t="s">
        <v>356</v>
      </c>
      <c r="F88" s="25" t="s">
        <v>357</v>
      </c>
      <c r="G88" s="26" t="s">
        <v>13</v>
      </c>
      <c r="H88" s="27" t="n">
        <f aca="false">IFERROR(INDEX(Config!$B$3:$B$8,MATCH($G88,Config!$A$3:$A$8,0)),0)</f>
        <v>1</v>
      </c>
      <c r="I88" s="28" t="n">
        <f aca="false">IFERROR(INDEX(Config!$C$3:$C$8,MATCH($G88,Config!$A$3:$A$8,0)),0)</f>
        <v>1</v>
      </c>
      <c r="J88" s="25" t="s">
        <v>358</v>
      </c>
    </row>
    <row r="89" customFormat="false" ht="23.25" hidden="false" customHeight="true" outlineLevel="0" collapsed="false">
      <c r="A89" s="23" t="n">
        <v>88</v>
      </c>
      <c r="B89" s="23" t="s">
        <v>26</v>
      </c>
      <c r="C89" s="23" t="s">
        <v>50</v>
      </c>
      <c r="D89" s="23" t="s">
        <v>51</v>
      </c>
      <c r="E89" s="24" t="s">
        <v>359</v>
      </c>
      <c r="F89" s="25" t="s">
        <v>360</v>
      </c>
      <c r="G89" s="26" t="s">
        <v>13</v>
      </c>
      <c r="H89" s="27" t="n">
        <f aca="false">IFERROR(INDEX(Config!$B$3:$B$8,MATCH($G89,Config!$A$3:$A$8,0)),0)</f>
        <v>1</v>
      </c>
      <c r="I89" s="28" t="n">
        <f aca="false">IFERROR(INDEX(Config!$C$3:$C$8,MATCH($G89,Config!$A$3:$A$8,0)),0)</f>
        <v>1</v>
      </c>
      <c r="J89" s="25" t="s">
        <v>361</v>
      </c>
    </row>
    <row r="90" customFormat="false" ht="23.25" hidden="false" customHeight="true" outlineLevel="0" collapsed="false">
      <c r="A90" s="23" t="n">
        <v>89</v>
      </c>
      <c r="B90" s="23" t="s">
        <v>26</v>
      </c>
      <c r="C90" s="23" t="s">
        <v>50</v>
      </c>
      <c r="D90" s="23" t="s">
        <v>51</v>
      </c>
      <c r="E90" s="24" t="s">
        <v>362</v>
      </c>
      <c r="F90" s="25" t="s">
        <v>363</v>
      </c>
      <c r="G90" s="26" t="s">
        <v>13</v>
      </c>
      <c r="H90" s="27" t="n">
        <f aca="false">IFERROR(INDEX(Config!$B$3:$B$8,MATCH($G90,Config!$A$3:$A$8,0)),0)</f>
        <v>1</v>
      </c>
      <c r="I90" s="28" t="n">
        <f aca="false">IFERROR(INDEX(Config!$C$3:$C$8,MATCH($G90,Config!$A$3:$A$8,0)),0)</f>
        <v>1</v>
      </c>
      <c r="J90" s="25" t="s">
        <v>364</v>
      </c>
    </row>
    <row r="91" customFormat="false" ht="23.25" hidden="false" customHeight="true" outlineLevel="0" collapsed="false">
      <c r="A91" s="23" t="n">
        <v>90</v>
      </c>
      <c r="B91" s="23" t="s">
        <v>26</v>
      </c>
      <c r="C91" s="23" t="s">
        <v>50</v>
      </c>
      <c r="D91" s="23" t="s">
        <v>51</v>
      </c>
      <c r="E91" s="24" t="s">
        <v>365</v>
      </c>
      <c r="F91" s="25" t="s">
        <v>366</v>
      </c>
      <c r="G91" s="26" t="s">
        <v>15</v>
      </c>
      <c r="H91" s="27" t="n">
        <f aca="false">IFERROR(INDEX(Config!$B$3:$B$8,MATCH($G91,Config!$A$3:$A$8,0)),0)</f>
        <v>0</v>
      </c>
      <c r="I91" s="28" t="n">
        <f aca="false">IFERROR(INDEX(Config!$C$3:$C$8,MATCH($G91,Config!$A$3:$A$8,0)),0)</f>
        <v>1</v>
      </c>
      <c r="J91" s="25" t="s">
        <v>367</v>
      </c>
    </row>
    <row r="92" customFormat="false" ht="23.25" hidden="false" customHeight="true" outlineLevel="0" collapsed="false">
      <c r="A92" s="23" t="n">
        <v>91</v>
      </c>
      <c r="B92" s="23" t="s">
        <v>26</v>
      </c>
      <c r="C92" s="23" t="s">
        <v>50</v>
      </c>
      <c r="D92" s="23" t="s">
        <v>51</v>
      </c>
      <c r="E92" s="24" t="s">
        <v>368</v>
      </c>
      <c r="F92" s="25" t="s">
        <v>369</v>
      </c>
      <c r="G92" s="26" t="s">
        <v>15</v>
      </c>
      <c r="H92" s="27" t="n">
        <f aca="false">IFERROR(INDEX(Config!$B$3:$B$8,MATCH($G92,Config!$A$3:$A$8,0)),0)</f>
        <v>0</v>
      </c>
      <c r="I92" s="28" t="n">
        <f aca="false">IFERROR(INDEX(Config!$C$3:$C$8,MATCH($G92,Config!$A$3:$A$8,0)),0)</f>
        <v>1</v>
      </c>
      <c r="J92" s="25" t="s">
        <v>370</v>
      </c>
    </row>
    <row r="93" customFormat="false" ht="23.25" hidden="false" customHeight="true" outlineLevel="0" collapsed="false">
      <c r="A93" s="23" t="n">
        <v>92</v>
      </c>
      <c r="B93" s="23" t="s">
        <v>26</v>
      </c>
      <c r="C93" s="23" t="s">
        <v>50</v>
      </c>
      <c r="D93" s="23" t="s">
        <v>51</v>
      </c>
      <c r="E93" s="24" t="s">
        <v>371</v>
      </c>
      <c r="F93" s="25" t="s">
        <v>372</v>
      </c>
      <c r="G93" s="26" t="s">
        <v>13</v>
      </c>
      <c r="H93" s="27" t="n">
        <f aca="false">IFERROR(INDEX(Config!$B$3:$B$8,MATCH($G93,Config!$A$3:$A$8,0)),0)</f>
        <v>1</v>
      </c>
      <c r="I93" s="28" t="n">
        <f aca="false">IFERROR(INDEX(Config!$C$3:$C$8,MATCH($G93,Config!$A$3:$A$8,0)),0)</f>
        <v>1</v>
      </c>
      <c r="J93" s="25" t="s">
        <v>373</v>
      </c>
    </row>
    <row r="94" customFormat="false" ht="23.25" hidden="false" customHeight="true" outlineLevel="0" collapsed="false">
      <c r="A94" s="23" t="n">
        <v>93</v>
      </c>
      <c r="B94" s="23" t="s">
        <v>26</v>
      </c>
      <c r="C94" s="23" t="s">
        <v>50</v>
      </c>
      <c r="D94" s="23" t="s">
        <v>51</v>
      </c>
      <c r="E94" s="24" t="s">
        <v>374</v>
      </c>
      <c r="F94" s="25" t="s">
        <v>375</v>
      </c>
      <c r="G94" s="26" t="s">
        <v>13</v>
      </c>
      <c r="H94" s="27" t="n">
        <f aca="false">IFERROR(INDEX(Config!$B$3:$B$8,MATCH($G94,Config!$A$3:$A$8,0)),0)</f>
        <v>1</v>
      </c>
      <c r="I94" s="28" t="n">
        <f aca="false">IFERROR(INDEX(Config!$C$3:$C$8,MATCH($G94,Config!$A$3:$A$8,0)),0)</f>
        <v>1</v>
      </c>
      <c r="J94" s="25" t="s">
        <v>376</v>
      </c>
    </row>
    <row r="95" customFormat="false" ht="23.25" hidden="false" customHeight="true" outlineLevel="0" collapsed="false">
      <c r="A95" s="23" t="n">
        <v>94</v>
      </c>
      <c r="B95" s="23" t="s">
        <v>26</v>
      </c>
      <c r="C95" s="23" t="s">
        <v>50</v>
      </c>
      <c r="D95" s="23" t="s">
        <v>51</v>
      </c>
      <c r="E95" s="24" t="s">
        <v>377</v>
      </c>
      <c r="F95" s="25" t="s">
        <v>378</v>
      </c>
      <c r="G95" s="26" t="s">
        <v>13</v>
      </c>
      <c r="H95" s="27" t="n">
        <f aca="false">IFERROR(INDEX(Config!$B$3:$B$8,MATCH($G95,Config!$A$3:$A$8,0)),0)</f>
        <v>1</v>
      </c>
      <c r="I95" s="28" t="n">
        <f aca="false">IFERROR(INDEX(Config!$C$3:$C$8,MATCH($G95,Config!$A$3:$A$8,0)),0)</f>
        <v>1</v>
      </c>
      <c r="J95" s="25" t="s">
        <v>379</v>
      </c>
    </row>
    <row r="96" customFormat="false" ht="15" hidden="false" customHeight="true" outlineLevel="0" collapsed="false">
      <c r="A96" s="23" t="n">
        <v>95</v>
      </c>
      <c r="B96" s="23" t="s">
        <v>26</v>
      </c>
      <c r="C96" s="23" t="s">
        <v>50</v>
      </c>
      <c r="D96" s="23" t="s">
        <v>51</v>
      </c>
      <c r="E96" s="24" t="s">
        <v>380</v>
      </c>
      <c r="F96" s="25" t="s">
        <v>381</v>
      </c>
      <c r="G96" s="26" t="s">
        <v>15</v>
      </c>
      <c r="H96" s="27" t="n">
        <f aca="false">IFERROR(INDEX(Config!$B$3:$B$8,MATCH($G96,Config!$A$3:$A$8,0)),0)</f>
        <v>0</v>
      </c>
      <c r="I96" s="28" t="n">
        <f aca="false">IFERROR(INDEX(Config!$C$3:$C$8,MATCH($G96,Config!$A$3:$A$8,0)),0)</f>
        <v>1</v>
      </c>
      <c r="J96" s="25" t="s">
        <v>382</v>
      </c>
    </row>
    <row r="97" customFormat="false" ht="23.25" hidden="false" customHeight="true" outlineLevel="0" collapsed="false">
      <c r="A97" s="23" t="n">
        <v>96</v>
      </c>
      <c r="B97" s="23" t="s">
        <v>26</v>
      </c>
      <c r="C97" s="23" t="s">
        <v>50</v>
      </c>
      <c r="D97" s="23" t="s">
        <v>51</v>
      </c>
      <c r="E97" s="24" t="s">
        <v>383</v>
      </c>
      <c r="F97" s="25" t="s">
        <v>384</v>
      </c>
      <c r="G97" s="26" t="s">
        <v>13</v>
      </c>
      <c r="H97" s="27" t="n">
        <f aca="false">IFERROR(INDEX(Config!$B$3:$B$8,MATCH($G97,Config!$A$3:$A$8,0)),0)</f>
        <v>1</v>
      </c>
      <c r="I97" s="28" t="n">
        <f aca="false">IFERROR(INDEX(Config!$C$3:$C$8,MATCH($G97,Config!$A$3:$A$8,0)),0)</f>
        <v>1</v>
      </c>
      <c r="J97" s="25" t="s">
        <v>385</v>
      </c>
    </row>
    <row r="98" customFormat="false" ht="23.25" hidden="false" customHeight="true" outlineLevel="0" collapsed="false">
      <c r="A98" s="23" t="n">
        <v>97</v>
      </c>
      <c r="B98" s="23" t="s">
        <v>26</v>
      </c>
      <c r="C98" s="23" t="s">
        <v>50</v>
      </c>
      <c r="D98" s="23" t="s">
        <v>51</v>
      </c>
      <c r="E98" s="24" t="s">
        <v>386</v>
      </c>
      <c r="F98" s="25" t="s">
        <v>387</v>
      </c>
      <c r="G98" s="26" t="s">
        <v>13</v>
      </c>
      <c r="H98" s="27" t="n">
        <f aca="false">IFERROR(INDEX(Config!$B$3:$B$8,MATCH($G98,Config!$A$3:$A$8,0)),0)</f>
        <v>1</v>
      </c>
      <c r="I98" s="28" t="n">
        <f aca="false">IFERROR(INDEX(Config!$C$3:$C$8,MATCH($G98,Config!$A$3:$A$8,0)),0)</f>
        <v>1</v>
      </c>
      <c r="J98" s="25" t="s">
        <v>388</v>
      </c>
    </row>
    <row r="99" customFormat="false" ht="23.25" hidden="false" customHeight="true" outlineLevel="0" collapsed="false">
      <c r="A99" s="23" t="n">
        <v>98</v>
      </c>
      <c r="B99" s="23" t="s">
        <v>26</v>
      </c>
      <c r="C99" s="23" t="s">
        <v>50</v>
      </c>
      <c r="D99" s="23" t="s">
        <v>51</v>
      </c>
      <c r="E99" s="24" t="s">
        <v>389</v>
      </c>
      <c r="F99" s="25" t="s">
        <v>390</v>
      </c>
      <c r="G99" s="26" t="s">
        <v>13</v>
      </c>
      <c r="H99" s="27" t="n">
        <f aca="false">IFERROR(INDEX(Config!$B$3:$B$8,MATCH($G99,Config!$A$3:$A$8,0)),0)</f>
        <v>1</v>
      </c>
      <c r="I99" s="28" t="n">
        <f aca="false">IFERROR(INDEX(Config!$C$3:$C$8,MATCH($G99,Config!$A$3:$A$8,0)),0)</f>
        <v>1</v>
      </c>
      <c r="J99" s="25" t="s">
        <v>391</v>
      </c>
    </row>
    <row r="100" customFormat="false" ht="23.25" hidden="false" customHeight="true" outlineLevel="0" collapsed="false">
      <c r="A100" s="23" t="n">
        <v>99</v>
      </c>
      <c r="B100" s="23" t="s">
        <v>26</v>
      </c>
      <c r="C100" s="23" t="s">
        <v>50</v>
      </c>
      <c r="D100" s="23" t="s">
        <v>51</v>
      </c>
      <c r="E100" s="24" t="s">
        <v>392</v>
      </c>
      <c r="F100" s="25" t="s">
        <v>393</v>
      </c>
      <c r="G100" s="26" t="s">
        <v>15</v>
      </c>
      <c r="H100" s="27" t="n">
        <f aca="false">IFERROR(INDEX(Config!$B$3:$B$8,MATCH($G100,Config!$A$3:$A$8,0)),0)</f>
        <v>0</v>
      </c>
      <c r="I100" s="28" t="n">
        <f aca="false">IFERROR(INDEX(Config!$C$3:$C$8,MATCH($G100,Config!$A$3:$A$8,0)),0)</f>
        <v>1</v>
      </c>
      <c r="J100" s="25" t="s">
        <v>394</v>
      </c>
    </row>
    <row r="101" customFormat="false" ht="23.25" hidden="false" customHeight="true" outlineLevel="0" collapsed="false">
      <c r="A101" s="23" t="n">
        <v>100</v>
      </c>
      <c r="B101" s="23" t="s">
        <v>26</v>
      </c>
      <c r="C101" s="23" t="s">
        <v>50</v>
      </c>
      <c r="D101" s="23" t="s">
        <v>51</v>
      </c>
      <c r="E101" s="24" t="s">
        <v>395</v>
      </c>
      <c r="F101" s="25" t="s">
        <v>396</v>
      </c>
      <c r="G101" s="26" t="s">
        <v>15</v>
      </c>
      <c r="H101" s="27" t="n">
        <f aca="false">IFERROR(INDEX(Config!$B$3:$B$8,MATCH($G101,Config!$A$3:$A$8,0)),0)</f>
        <v>0</v>
      </c>
      <c r="I101" s="28" t="n">
        <f aca="false">IFERROR(INDEX(Config!$C$3:$C$8,MATCH($G101,Config!$A$3:$A$8,0)),0)</f>
        <v>1</v>
      </c>
      <c r="J101" s="25" t="s">
        <v>397</v>
      </c>
    </row>
    <row r="102" customFormat="false" ht="34.5" hidden="false" customHeight="true" outlineLevel="0" collapsed="false">
      <c r="A102" s="23" t="n">
        <v>101</v>
      </c>
      <c r="B102" s="23" t="s">
        <v>26</v>
      </c>
      <c r="C102" s="23" t="s">
        <v>50</v>
      </c>
      <c r="D102" s="23" t="s">
        <v>51</v>
      </c>
      <c r="E102" s="24" t="s">
        <v>398</v>
      </c>
      <c r="F102" s="25" t="s">
        <v>399</v>
      </c>
      <c r="G102" s="26" t="s">
        <v>13</v>
      </c>
      <c r="H102" s="27" t="n">
        <f aca="false">IFERROR(INDEX(Config!$B$3:$B$8,MATCH($G102,Config!$A$3:$A$8,0)),0)</f>
        <v>1</v>
      </c>
      <c r="I102" s="28" t="n">
        <f aca="false">IFERROR(INDEX(Config!$C$3:$C$8,MATCH($G102,Config!$A$3:$A$8,0)),0)</f>
        <v>1</v>
      </c>
      <c r="J102" s="25" t="s">
        <v>400</v>
      </c>
    </row>
    <row r="103" customFormat="false" ht="23.25" hidden="false" customHeight="true" outlineLevel="0" collapsed="false">
      <c r="A103" s="23" t="n">
        <v>102</v>
      </c>
      <c r="B103" s="23" t="s">
        <v>26</v>
      </c>
      <c r="C103" s="23" t="s">
        <v>50</v>
      </c>
      <c r="D103" s="23" t="s">
        <v>51</v>
      </c>
      <c r="E103" s="24" t="s">
        <v>401</v>
      </c>
      <c r="F103" s="25" t="s">
        <v>402</v>
      </c>
      <c r="G103" s="26" t="s">
        <v>13</v>
      </c>
      <c r="H103" s="27" t="n">
        <f aca="false">IFERROR(INDEX(Config!$B$3:$B$8,MATCH($G103,Config!$A$3:$A$8,0)),0)</f>
        <v>1</v>
      </c>
      <c r="I103" s="28" t="n">
        <f aca="false">IFERROR(INDEX(Config!$C$3:$C$8,MATCH($G103,Config!$A$3:$A$8,0)),0)</f>
        <v>1</v>
      </c>
      <c r="J103" s="25" t="s">
        <v>403</v>
      </c>
    </row>
    <row r="104" customFormat="false" ht="23.25" hidden="false" customHeight="true" outlineLevel="0" collapsed="false">
      <c r="A104" s="23" t="n">
        <v>103</v>
      </c>
      <c r="B104" s="23" t="s">
        <v>26</v>
      </c>
      <c r="C104" s="23" t="s">
        <v>50</v>
      </c>
      <c r="D104" s="23" t="s">
        <v>51</v>
      </c>
      <c r="E104" s="24" t="s">
        <v>404</v>
      </c>
      <c r="F104" s="25" t="s">
        <v>405</v>
      </c>
      <c r="G104" s="26" t="s">
        <v>13</v>
      </c>
      <c r="H104" s="27" t="n">
        <f aca="false">IFERROR(INDEX(Config!$B$3:$B$8,MATCH($G104,Config!$A$3:$A$8,0)),0)</f>
        <v>1</v>
      </c>
      <c r="I104" s="28" t="n">
        <f aca="false">IFERROR(INDEX(Config!$C$3:$C$8,MATCH($G104,Config!$A$3:$A$8,0)),0)</f>
        <v>1</v>
      </c>
      <c r="J104" s="25" t="s">
        <v>406</v>
      </c>
    </row>
    <row r="105" customFormat="false" ht="15" hidden="false" customHeight="true" outlineLevel="0" collapsed="false">
      <c r="A105" s="23" t="s">
        <v>407</v>
      </c>
      <c r="B105" s="23" t="s">
        <v>26</v>
      </c>
      <c r="C105" s="23" t="s">
        <v>50</v>
      </c>
      <c r="D105" s="23" t="s">
        <v>51</v>
      </c>
      <c r="E105" s="24" t="s">
        <v>408</v>
      </c>
      <c r="F105" s="25" t="s">
        <v>409</v>
      </c>
      <c r="G105" s="26" t="s">
        <v>13</v>
      </c>
      <c r="H105" s="27" t="n">
        <f aca="false">IFERROR(INDEX(Config!$B$3:$B$8,MATCH($G105,Config!$A$3:$A$8,0)),0)</f>
        <v>1</v>
      </c>
      <c r="I105" s="28" t="n">
        <f aca="false">IFERROR(INDEX(Config!$C$3:$C$8,MATCH($G105,Config!$A$3:$A$8,0)),0)</f>
        <v>1</v>
      </c>
      <c r="J105" s="25" t="s">
        <v>410</v>
      </c>
    </row>
    <row r="106" customFormat="false" ht="15" hidden="false" customHeight="true" outlineLevel="0" collapsed="false">
      <c r="A106" s="23" t="s">
        <v>411</v>
      </c>
      <c r="B106" s="23" t="s">
        <v>26</v>
      </c>
      <c r="C106" s="23" t="s">
        <v>50</v>
      </c>
      <c r="D106" s="23" t="s">
        <v>51</v>
      </c>
      <c r="E106" s="24" t="s">
        <v>412</v>
      </c>
      <c r="F106" s="25" t="s">
        <v>413</v>
      </c>
      <c r="G106" s="26" t="s">
        <v>13</v>
      </c>
      <c r="H106" s="27" t="n">
        <f aca="false">IFERROR(INDEX(Config!$B$3:$B$8,MATCH($G106,Config!$A$3:$A$8,0)),0)</f>
        <v>1</v>
      </c>
      <c r="I106" s="28" t="n">
        <f aca="false">IFERROR(INDEX(Config!$C$3:$C$8,MATCH($G106,Config!$A$3:$A$8,0)),0)</f>
        <v>1</v>
      </c>
      <c r="J106" s="25" t="s">
        <v>414</v>
      </c>
    </row>
    <row r="107" customFormat="false" ht="15" hidden="false" customHeight="true" outlineLevel="0" collapsed="false">
      <c r="A107" s="23" t="s">
        <v>415</v>
      </c>
      <c r="B107" s="23" t="s">
        <v>26</v>
      </c>
      <c r="C107" s="23" t="s">
        <v>50</v>
      </c>
      <c r="D107" s="23" t="s">
        <v>51</v>
      </c>
      <c r="E107" s="24" t="s">
        <v>416</v>
      </c>
      <c r="F107" s="25" t="s">
        <v>417</v>
      </c>
      <c r="G107" s="26" t="s">
        <v>15</v>
      </c>
      <c r="H107" s="27" t="n">
        <f aca="false">IFERROR(INDEX(Config!$B$3:$B$8,MATCH($G107,Config!$A$3:$A$8,0)),0)</f>
        <v>0</v>
      </c>
      <c r="I107" s="28" t="n">
        <f aca="false">IFERROR(INDEX(Config!$C$3:$C$8,MATCH($G107,Config!$A$3:$A$8,0)),0)</f>
        <v>1</v>
      </c>
      <c r="J107" s="25" t="s">
        <v>418</v>
      </c>
    </row>
    <row r="108" customFormat="false" ht="15" hidden="false" customHeight="true" outlineLevel="0" collapsed="false">
      <c r="A108" s="23" t="n">
        <v>104</v>
      </c>
      <c r="B108" s="23" t="s">
        <v>26</v>
      </c>
      <c r="C108" s="23" t="s">
        <v>50</v>
      </c>
      <c r="D108" s="23" t="s">
        <v>51</v>
      </c>
      <c r="E108" s="24" t="s">
        <v>419</v>
      </c>
      <c r="F108" s="25" t="s">
        <v>420</v>
      </c>
      <c r="G108" s="26" t="s">
        <v>13</v>
      </c>
      <c r="H108" s="27" t="n">
        <f aca="false">IFERROR(INDEX(Config!$B$3:$B$8,MATCH($G108,Config!$A$3:$A$8,0)),0)</f>
        <v>1</v>
      </c>
      <c r="I108" s="28" t="n">
        <f aca="false">IFERROR(INDEX(Config!$C$3:$C$8,MATCH($G108,Config!$A$3:$A$8,0)),0)</f>
        <v>1</v>
      </c>
      <c r="J108" s="25" t="s">
        <v>421</v>
      </c>
    </row>
    <row r="109" customFormat="false" ht="15" hidden="false" customHeight="true" outlineLevel="0" collapsed="false">
      <c r="A109" s="23" t="n">
        <v>105</v>
      </c>
      <c r="B109" s="23" t="s">
        <v>26</v>
      </c>
      <c r="C109" s="23" t="s">
        <v>50</v>
      </c>
      <c r="D109" s="23" t="s">
        <v>51</v>
      </c>
      <c r="E109" s="24" t="s">
        <v>422</v>
      </c>
      <c r="F109" s="25" t="s">
        <v>423</v>
      </c>
      <c r="G109" s="26" t="s">
        <v>13</v>
      </c>
      <c r="H109" s="27" t="n">
        <f aca="false">IFERROR(INDEX(Config!$B$3:$B$8,MATCH($G109,Config!$A$3:$A$8,0)),0)</f>
        <v>1</v>
      </c>
      <c r="I109" s="28" t="n">
        <f aca="false">IFERROR(INDEX(Config!$C$3:$C$8,MATCH($G109,Config!$A$3:$A$8,0)),0)</f>
        <v>1</v>
      </c>
      <c r="J109" s="25" t="s">
        <v>424</v>
      </c>
    </row>
    <row r="110" customFormat="false" ht="15" hidden="false" customHeight="true" outlineLevel="0" collapsed="false">
      <c r="A110" s="23" t="s">
        <v>425</v>
      </c>
      <c r="B110" s="23" t="s">
        <v>26</v>
      </c>
      <c r="C110" s="23" t="s">
        <v>50</v>
      </c>
      <c r="D110" s="23" t="s">
        <v>51</v>
      </c>
      <c r="E110" s="24" t="s">
        <v>426</v>
      </c>
      <c r="F110" s="25" t="s">
        <v>427</v>
      </c>
      <c r="G110" s="26" t="s">
        <v>15</v>
      </c>
      <c r="H110" s="27" t="n">
        <f aca="false">IFERROR(INDEX(Config!$B$3:$B$8,MATCH($G110,Config!$A$3:$A$8,0)),0)</f>
        <v>0</v>
      </c>
      <c r="I110" s="28" t="n">
        <f aca="false">IFERROR(INDEX(Config!$C$3:$C$8,MATCH($G110,Config!$A$3:$A$8,0)),0)</f>
        <v>1</v>
      </c>
      <c r="J110" s="25" t="s">
        <v>428</v>
      </c>
    </row>
    <row r="111" customFormat="false" ht="15" hidden="false" customHeight="true" outlineLevel="0" collapsed="false">
      <c r="A111" s="23" t="n">
        <v>106</v>
      </c>
      <c r="B111" s="23" t="s">
        <v>26</v>
      </c>
      <c r="C111" s="23" t="s">
        <v>50</v>
      </c>
      <c r="D111" s="23" t="s">
        <v>51</v>
      </c>
      <c r="E111" s="24" t="s">
        <v>429</v>
      </c>
      <c r="F111" s="25" t="s">
        <v>430</v>
      </c>
      <c r="G111" s="26" t="s">
        <v>13</v>
      </c>
      <c r="H111" s="27" t="n">
        <f aca="false">IFERROR(INDEX(Config!$B$3:$B$8,MATCH($G111,Config!$A$3:$A$8,0)),0)</f>
        <v>1</v>
      </c>
      <c r="I111" s="28" t="n">
        <f aca="false">IFERROR(INDEX(Config!$C$3:$C$8,MATCH($G111,Config!$A$3:$A$8,0)),0)</f>
        <v>1</v>
      </c>
      <c r="J111" s="25" t="s">
        <v>431</v>
      </c>
    </row>
    <row r="112" customFormat="false" ht="15" hidden="false" customHeight="true" outlineLevel="0" collapsed="false">
      <c r="A112" s="23" t="n">
        <v>107</v>
      </c>
      <c r="B112" s="23" t="s">
        <v>26</v>
      </c>
      <c r="C112" s="23" t="s">
        <v>50</v>
      </c>
      <c r="D112" s="23" t="s">
        <v>51</v>
      </c>
      <c r="E112" s="24" t="s">
        <v>432</v>
      </c>
      <c r="F112" s="25" t="s">
        <v>433</v>
      </c>
      <c r="G112" s="26" t="s">
        <v>13</v>
      </c>
      <c r="H112" s="27" t="n">
        <f aca="false">IFERROR(INDEX(Config!$B$3:$B$8,MATCH($G112,Config!$A$3:$A$8,0)),0)</f>
        <v>1</v>
      </c>
      <c r="I112" s="28" t="n">
        <f aca="false">IFERROR(INDEX(Config!$C$3:$C$8,MATCH($G112,Config!$A$3:$A$8,0)),0)</f>
        <v>1</v>
      </c>
      <c r="J112" s="25" t="s">
        <v>434</v>
      </c>
    </row>
    <row r="113" customFormat="false" ht="15" hidden="false" customHeight="true" outlineLevel="0" collapsed="false">
      <c r="A113" s="23" t="n">
        <v>109</v>
      </c>
      <c r="B113" s="23" t="s">
        <v>26</v>
      </c>
      <c r="C113" s="23" t="s">
        <v>52</v>
      </c>
      <c r="D113" s="23" t="s">
        <v>53</v>
      </c>
      <c r="E113" s="24" t="s">
        <v>435</v>
      </c>
      <c r="F113" s="25" t="s">
        <v>436</v>
      </c>
      <c r="G113" s="26" t="s">
        <v>15</v>
      </c>
      <c r="H113" s="27" t="n">
        <f aca="false">IFERROR(INDEX(Config!$B$3:$B$8,MATCH($G113,Config!$A$3:$A$8,0)),0)</f>
        <v>0</v>
      </c>
      <c r="I113" s="28" t="n">
        <f aca="false">IFERROR(INDEX(Config!$C$3:$C$8,MATCH($G113,Config!$A$3:$A$8,0)),0)</f>
        <v>1</v>
      </c>
      <c r="J113" s="25" t="s">
        <v>437</v>
      </c>
    </row>
    <row r="114" customFormat="false" ht="15" hidden="false" customHeight="true" outlineLevel="0" collapsed="false">
      <c r="A114" s="23" t="n">
        <v>110</v>
      </c>
      <c r="B114" s="23" t="s">
        <v>26</v>
      </c>
      <c r="C114" s="23" t="s">
        <v>52</v>
      </c>
      <c r="D114" s="23" t="s">
        <v>53</v>
      </c>
      <c r="E114" s="24" t="s">
        <v>438</v>
      </c>
      <c r="F114" s="25" t="s">
        <v>439</v>
      </c>
      <c r="G114" s="26" t="s">
        <v>15</v>
      </c>
      <c r="H114" s="27" t="n">
        <f aca="false">IFERROR(INDEX(Config!$B$3:$B$8,MATCH($G114,Config!$A$3:$A$8,0)),0)</f>
        <v>0</v>
      </c>
      <c r="I114" s="28" t="n">
        <f aca="false">IFERROR(INDEX(Config!$C$3:$C$8,MATCH($G114,Config!$A$3:$A$8,0)),0)</f>
        <v>1</v>
      </c>
      <c r="J114" s="25"/>
    </row>
    <row r="115" customFormat="false" ht="15" hidden="false" customHeight="true" outlineLevel="0" collapsed="false">
      <c r="A115" s="23" t="n">
        <v>111</v>
      </c>
      <c r="B115" s="23" t="s">
        <v>26</v>
      </c>
      <c r="C115" s="23" t="s">
        <v>52</v>
      </c>
      <c r="D115" s="23" t="s">
        <v>53</v>
      </c>
      <c r="E115" s="24" t="s">
        <v>440</v>
      </c>
      <c r="F115" s="25" t="s">
        <v>441</v>
      </c>
      <c r="G115" s="26" t="s">
        <v>15</v>
      </c>
      <c r="H115" s="27" t="n">
        <f aca="false">IFERROR(INDEX(Config!$B$3:$B$8,MATCH($G115,Config!$A$3:$A$8,0)),0)</f>
        <v>0</v>
      </c>
      <c r="I115" s="28" t="n">
        <f aca="false">IFERROR(INDEX(Config!$C$3:$C$8,MATCH($G115,Config!$A$3:$A$8,0)),0)</f>
        <v>1</v>
      </c>
      <c r="J115" s="25"/>
    </row>
    <row r="116" customFormat="false" ht="15" hidden="false" customHeight="true" outlineLevel="0" collapsed="false">
      <c r="A116" s="23" t="n">
        <v>112</v>
      </c>
      <c r="B116" s="23" t="s">
        <v>26</v>
      </c>
      <c r="C116" s="23" t="s">
        <v>52</v>
      </c>
      <c r="D116" s="23" t="s">
        <v>53</v>
      </c>
      <c r="E116" s="24" t="s">
        <v>442</v>
      </c>
      <c r="F116" s="25" t="s">
        <v>443</v>
      </c>
      <c r="G116" s="26" t="s">
        <v>15</v>
      </c>
      <c r="H116" s="27" t="n">
        <f aca="false">IFERROR(INDEX(Config!$B$3:$B$8,MATCH($G116,Config!$A$3:$A$8,0)),0)</f>
        <v>0</v>
      </c>
      <c r="I116" s="28" t="n">
        <f aca="false">IFERROR(INDEX(Config!$C$3:$C$8,MATCH($G116,Config!$A$3:$A$8,0)),0)</f>
        <v>1</v>
      </c>
      <c r="J116" s="25"/>
    </row>
    <row r="117" customFormat="false" ht="15" hidden="false" customHeight="true" outlineLevel="0" collapsed="false">
      <c r="A117" s="23" t="n">
        <v>113</v>
      </c>
      <c r="B117" s="23" t="s">
        <v>26</v>
      </c>
      <c r="C117" s="23" t="s">
        <v>52</v>
      </c>
      <c r="D117" s="23" t="s">
        <v>53</v>
      </c>
      <c r="E117" s="24" t="s">
        <v>444</v>
      </c>
      <c r="F117" s="25" t="s">
        <v>445</v>
      </c>
      <c r="G117" s="26" t="s">
        <v>15</v>
      </c>
      <c r="H117" s="27" t="n">
        <f aca="false">IFERROR(INDEX(Config!$B$3:$B$8,MATCH($G117,Config!$A$3:$A$8,0)),0)</f>
        <v>0</v>
      </c>
      <c r="I117" s="28" t="n">
        <f aca="false">IFERROR(INDEX(Config!$C$3:$C$8,MATCH($G117,Config!$A$3:$A$8,0)),0)</f>
        <v>1</v>
      </c>
      <c r="J117" s="25"/>
    </row>
    <row r="118" customFormat="false" ht="15" hidden="false" customHeight="true" outlineLevel="0" collapsed="false">
      <c r="A118" s="23" t="n">
        <v>114</v>
      </c>
      <c r="B118" s="23" t="s">
        <v>26</v>
      </c>
      <c r="C118" s="23" t="s">
        <v>52</v>
      </c>
      <c r="D118" s="23" t="s">
        <v>53</v>
      </c>
      <c r="E118" s="24" t="s">
        <v>446</v>
      </c>
      <c r="F118" s="25" t="s">
        <v>447</v>
      </c>
      <c r="G118" s="26" t="s">
        <v>15</v>
      </c>
      <c r="H118" s="27" t="n">
        <f aca="false">IFERROR(INDEX(Config!$B$3:$B$8,MATCH($G118,Config!$A$3:$A$8,0)),0)</f>
        <v>0</v>
      </c>
      <c r="I118" s="28" t="n">
        <f aca="false">IFERROR(INDEX(Config!$C$3:$C$8,MATCH($G118,Config!$A$3:$A$8,0)),0)</f>
        <v>1</v>
      </c>
      <c r="J118" s="25"/>
    </row>
    <row r="119" customFormat="false" ht="15" hidden="false" customHeight="true" outlineLevel="0" collapsed="false">
      <c r="A119" s="23" t="n">
        <v>115</v>
      </c>
      <c r="B119" s="23" t="s">
        <v>26</v>
      </c>
      <c r="C119" s="23" t="s">
        <v>52</v>
      </c>
      <c r="D119" s="23" t="s">
        <v>53</v>
      </c>
      <c r="E119" s="24" t="s">
        <v>448</v>
      </c>
      <c r="F119" s="25" t="s">
        <v>449</v>
      </c>
      <c r="G119" s="26" t="s">
        <v>15</v>
      </c>
      <c r="H119" s="27" t="n">
        <f aca="false">IFERROR(INDEX(Config!$B$3:$B$8,MATCH($G119,Config!$A$3:$A$8,0)),0)</f>
        <v>0</v>
      </c>
      <c r="I119" s="28" t="n">
        <f aca="false">IFERROR(INDEX(Config!$C$3:$C$8,MATCH($G119,Config!$A$3:$A$8,0)),0)</f>
        <v>1</v>
      </c>
      <c r="J119" s="25" t="s">
        <v>450</v>
      </c>
    </row>
    <row r="120" customFormat="false" ht="15" hidden="false" customHeight="true" outlineLevel="0" collapsed="false">
      <c r="A120" s="23" t="n">
        <v>116</v>
      </c>
      <c r="B120" s="23" t="s">
        <v>26</v>
      </c>
      <c r="C120" s="23" t="s">
        <v>52</v>
      </c>
      <c r="D120" s="23" t="s">
        <v>53</v>
      </c>
      <c r="E120" s="24" t="s">
        <v>451</v>
      </c>
      <c r="F120" s="25" t="s">
        <v>452</v>
      </c>
      <c r="G120" s="26" t="s">
        <v>15</v>
      </c>
      <c r="H120" s="27" t="n">
        <f aca="false">IFERROR(INDEX(Config!$B$3:$B$8,MATCH($G120,Config!$A$3:$A$8,0)),0)</f>
        <v>0</v>
      </c>
      <c r="I120" s="28" t="n">
        <f aca="false">IFERROR(INDEX(Config!$C$3:$C$8,MATCH($G120,Config!$A$3:$A$8,0)),0)</f>
        <v>1</v>
      </c>
      <c r="J120" s="25"/>
    </row>
    <row r="121" customFormat="false" ht="15" hidden="false" customHeight="true" outlineLevel="0" collapsed="false">
      <c r="A121" s="23" t="n">
        <v>117</v>
      </c>
      <c r="B121" s="23" t="s">
        <v>26</v>
      </c>
      <c r="C121" s="23" t="s">
        <v>52</v>
      </c>
      <c r="D121" s="23" t="s">
        <v>53</v>
      </c>
      <c r="E121" s="24" t="s">
        <v>453</v>
      </c>
      <c r="F121" s="25" t="s">
        <v>454</v>
      </c>
      <c r="G121" s="26" t="s">
        <v>15</v>
      </c>
      <c r="H121" s="27" t="n">
        <f aca="false">IFERROR(INDEX(Config!$B$3:$B$8,MATCH($G121,Config!$A$3:$A$8,0)),0)</f>
        <v>0</v>
      </c>
      <c r="I121" s="28" t="n">
        <f aca="false">IFERROR(INDEX(Config!$C$3:$C$8,MATCH($G121,Config!$A$3:$A$8,0)),0)</f>
        <v>1</v>
      </c>
      <c r="J121" s="25"/>
    </row>
    <row r="122" customFormat="false" ht="15" hidden="false" customHeight="true" outlineLevel="0" collapsed="false">
      <c r="A122" s="23" t="n">
        <v>118</v>
      </c>
      <c r="B122" s="23" t="s">
        <v>27</v>
      </c>
      <c r="C122" s="23" t="s">
        <v>54</v>
      </c>
      <c r="D122" s="23" t="s">
        <v>55</v>
      </c>
      <c r="E122" s="24" t="s">
        <v>455</v>
      </c>
      <c r="F122" s="25" t="s">
        <v>456</v>
      </c>
      <c r="G122" s="26" t="s">
        <v>15</v>
      </c>
      <c r="H122" s="27" t="n">
        <f aca="false">IFERROR(INDEX(Config!$B$3:$B$8,MATCH($G122,Config!$A$3:$A$8,0)),0)</f>
        <v>0</v>
      </c>
      <c r="I122" s="28" t="n">
        <f aca="false">IFERROR(INDEX(Config!$C$3:$C$8,MATCH($G122,Config!$A$3:$A$8,0)),0)</f>
        <v>1</v>
      </c>
      <c r="J122" s="25"/>
    </row>
    <row r="123" customFormat="false" ht="23.25" hidden="false" customHeight="true" outlineLevel="0" collapsed="false">
      <c r="A123" s="23" t="n">
        <v>119</v>
      </c>
      <c r="B123" s="23" t="s">
        <v>27</v>
      </c>
      <c r="C123" s="23" t="s">
        <v>54</v>
      </c>
      <c r="D123" s="23" t="s">
        <v>55</v>
      </c>
      <c r="E123" s="24" t="s">
        <v>457</v>
      </c>
      <c r="F123" s="25" t="s">
        <v>458</v>
      </c>
      <c r="G123" s="26" t="s">
        <v>15</v>
      </c>
      <c r="H123" s="27" t="n">
        <f aca="false">IFERROR(INDEX(Config!$B$3:$B$8,MATCH($G123,Config!$A$3:$A$8,0)),0)</f>
        <v>0</v>
      </c>
      <c r="I123" s="28" t="n">
        <f aca="false">IFERROR(INDEX(Config!$C$3:$C$8,MATCH($G123,Config!$A$3:$A$8,0)),0)</f>
        <v>1</v>
      </c>
      <c r="J123" s="25"/>
    </row>
    <row r="124" customFormat="false" ht="15" hidden="false" customHeight="true" outlineLevel="0" collapsed="false">
      <c r="A124" s="23" t="n">
        <v>120</v>
      </c>
      <c r="B124" s="23" t="s">
        <v>27</v>
      </c>
      <c r="C124" s="23" t="s">
        <v>54</v>
      </c>
      <c r="D124" s="23" t="s">
        <v>55</v>
      </c>
      <c r="E124" s="24" t="s">
        <v>459</v>
      </c>
      <c r="F124" s="25" t="s">
        <v>460</v>
      </c>
      <c r="G124" s="26" t="s">
        <v>15</v>
      </c>
      <c r="H124" s="27" t="n">
        <f aca="false">IFERROR(INDEX(Config!$B$3:$B$8,MATCH($G124,Config!$A$3:$A$8,0)),0)</f>
        <v>0</v>
      </c>
      <c r="I124" s="28" t="n">
        <f aca="false">IFERROR(INDEX(Config!$C$3:$C$8,MATCH($G124,Config!$A$3:$A$8,0)),0)</f>
        <v>1</v>
      </c>
      <c r="J124" s="25"/>
    </row>
    <row r="125" customFormat="false" ht="15" hidden="false" customHeight="true" outlineLevel="0" collapsed="false">
      <c r="A125" s="23" t="n">
        <v>121</v>
      </c>
      <c r="B125" s="23" t="s">
        <v>27</v>
      </c>
      <c r="C125" s="23" t="s">
        <v>54</v>
      </c>
      <c r="D125" s="23" t="s">
        <v>55</v>
      </c>
      <c r="E125" s="24" t="s">
        <v>461</v>
      </c>
      <c r="F125" s="25" t="s">
        <v>462</v>
      </c>
      <c r="G125" s="26" t="s">
        <v>15</v>
      </c>
      <c r="H125" s="27" t="n">
        <f aca="false">IFERROR(INDEX(Config!$B$3:$B$8,MATCH($G125,Config!$A$3:$A$8,0)),0)</f>
        <v>0</v>
      </c>
      <c r="I125" s="28" t="n">
        <f aca="false">IFERROR(INDEX(Config!$C$3:$C$8,MATCH($G125,Config!$A$3:$A$8,0)),0)</f>
        <v>1</v>
      </c>
      <c r="J125" s="25"/>
    </row>
    <row r="126" customFormat="false" ht="15" hidden="false" customHeight="true" outlineLevel="0" collapsed="false">
      <c r="A126" s="23" t="n">
        <v>122</v>
      </c>
      <c r="B126" s="23" t="s">
        <v>27</v>
      </c>
      <c r="C126" s="23" t="s">
        <v>54</v>
      </c>
      <c r="D126" s="23" t="s">
        <v>55</v>
      </c>
      <c r="E126" s="24" t="s">
        <v>463</v>
      </c>
      <c r="F126" s="25" t="s">
        <v>464</v>
      </c>
      <c r="G126" s="26" t="s">
        <v>15</v>
      </c>
      <c r="H126" s="27" t="n">
        <f aca="false">IFERROR(INDEX(Config!$B$3:$B$8,MATCH($G126,Config!$A$3:$A$8,0)),0)</f>
        <v>0</v>
      </c>
      <c r="I126" s="28" t="n">
        <f aca="false">IFERROR(INDEX(Config!$C$3:$C$8,MATCH($G126,Config!$A$3:$A$8,0)),0)</f>
        <v>1</v>
      </c>
      <c r="J126" s="25"/>
    </row>
    <row r="127" customFormat="false" ht="15" hidden="false" customHeight="true" outlineLevel="0" collapsed="false">
      <c r="A127" s="23" t="n">
        <v>123</v>
      </c>
      <c r="B127" s="23" t="s">
        <v>27</v>
      </c>
      <c r="C127" s="23" t="s">
        <v>54</v>
      </c>
      <c r="D127" s="23" t="s">
        <v>55</v>
      </c>
      <c r="E127" s="24" t="s">
        <v>465</v>
      </c>
      <c r="F127" s="25" t="s">
        <v>466</v>
      </c>
      <c r="G127" s="26" t="s">
        <v>15</v>
      </c>
      <c r="H127" s="27" t="n">
        <f aca="false">IFERROR(INDEX(Config!$B$3:$B$8,MATCH($G127,Config!$A$3:$A$8,0)),0)</f>
        <v>0</v>
      </c>
      <c r="I127" s="28" t="n">
        <f aca="false">IFERROR(INDEX(Config!$C$3:$C$8,MATCH($G127,Config!$A$3:$A$8,0)),0)</f>
        <v>1</v>
      </c>
      <c r="J127" s="25"/>
    </row>
    <row r="128" customFormat="false" ht="15" hidden="false" customHeight="true" outlineLevel="0" collapsed="false">
      <c r="A128" s="23" t="n">
        <v>124</v>
      </c>
      <c r="B128" s="23" t="s">
        <v>27</v>
      </c>
      <c r="C128" s="23" t="s">
        <v>54</v>
      </c>
      <c r="D128" s="23" t="s">
        <v>55</v>
      </c>
      <c r="E128" s="24" t="s">
        <v>467</v>
      </c>
      <c r="F128" s="25" t="s">
        <v>468</v>
      </c>
      <c r="G128" s="26" t="s">
        <v>13</v>
      </c>
      <c r="H128" s="27" t="n">
        <f aca="false">IFERROR(INDEX(Config!$B$3:$B$8,MATCH($G128,Config!$A$3:$A$8,0)),0)</f>
        <v>1</v>
      </c>
      <c r="I128" s="28" t="n">
        <f aca="false">IFERROR(INDEX(Config!$C$3:$C$8,MATCH($G128,Config!$A$3:$A$8,0)),0)</f>
        <v>1</v>
      </c>
      <c r="J128" s="25" t="s">
        <v>469</v>
      </c>
    </row>
    <row r="129" customFormat="false" ht="15" hidden="false" customHeight="true" outlineLevel="0" collapsed="false">
      <c r="A129" s="23" t="n">
        <v>125</v>
      </c>
      <c r="B129" s="23" t="s">
        <v>27</v>
      </c>
      <c r="C129" s="23" t="s">
        <v>54</v>
      </c>
      <c r="D129" s="23" t="s">
        <v>55</v>
      </c>
      <c r="E129" s="24" t="s">
        <v>470</v>
      </c>
      <c r="F129" s="25" t="s">
        <v>471</v>
      </c>
      <c r="G129" s="26" t="s">
        <v>15</v>
      </c>
      <c r="H129" s="27" t="n">
        <f aca="false">IFERROR(INDEX(Config!$B$3:$B$8,MATCH($G129,Config!$A$3:$A$8,0)),0)</f>
        <v>0</v>
      </c>
      <c r="I129" s="28" t="n">
        <f aca="false">IFERROR(INDEX(Config!$C$3:$C$8,MATCH($G129,Config!$A$3:$A$8,0)),0)</f>
        <v>1</v>
      </c>
      <c r="J129" s="25"/>
    </row>
    <row r="130" customFormat="false" ht="15" hidden="false" customHeight="true" outlineLevel="0" collapsed="false">
      <c r="A130" s="23" t="n">
        <v>126</v>
      </c>
      <c r="B130" s="23" t="s">
        <v>27</v>
      </c>
      <c r="C130" s="23" t="s">
        <v>54</v>
      </c>
      <c r="D130" s="23" t="s">
        <v>55</v>
      </c>
      <c r="E130" s="24" t="s">
        <v>472</v>
      </c>
      <c r="F130" s="25" t="s">
        <v>473</v>
      </c>
      <c r="G130" s="26" t="s">
        <v>15</v>
      </c>
      <c r="H130" s="27" t="n">
        <f aca="false">IFERROR(INDEX(Config!$B$3:$B$8,MATCH($G130,Config!$A$3:$A$8,0)),0)</f>
        <v>0</v>
      </c>
      <c r="I130" s="28" t="n">
        <f aca="false">IFERROR(INDEX(Config!$C$3:$C$8,MATCH($G130,Config!$A$3:$A$8,0)),0)</f>
        <v>1</v>
      </c>
      <c r="J130" s="25"/>
    </row>
    <row r="131" customFormat="false" ht="15" hidden="false" customHeight="true" outlineLevel="0" collapsed="false">
      <c r="A131" s="23" t="n">
        <v>127</v>
      </c>
      <c r="B131" s="23" t="s">
        <v>27</v>
      </c>
      <c r="C131" s="23" t="s">
        <v>56</v>
      </c>
      <c r="D131" s="23" t="s">
        <v>57</v>
      </c>
      <c r="E131" s="24" t="s">
        <v>474</v>
      </c>
      <c r="F131" s="25" t="s">
        <v>475</v>
      </c>
      <c r="G131" s="26" t="s">
        <v>15</v>
      </c>
      <c r="H131" s="27" t="n">
        <f aca="false">IFERROR(INDEX(Config!$B$3:$B$8,MATCH($G131,Config!$A$3:$A$8,0)),0)</f>
        <v>0</v>
      </c>
      <c r="I131" s="28" t="n">
        <f aca="false">IFERROR(INDEX(Config!$C$3:$C$8,MATCH($G131,Config!$A$3:$A$8,0)),0)</f>
        <v>1</v>
      </c>
      <c r="J131" s="25" t="s">
        <v>476</v>
      </c>
    </row>
    <row r="132" customFormat="false" ht="15" hidden="false" customHeight="true" outlineLevel="0" collapsed="false">
      <c r="A132" s="23" t="n">
        <v>128</v>
      </c>
      <c r="B132" s="23" t="s">
        <v>27</v>
      </c>
      <c r="C132" s="23" t="s">
        <v>56</v>
      </c>
      <c r="D132" s="23" t="s">
        <v>57</v>
      </c>
      <c r="E132" s="24" t="s">
        <v>477</v>
      </c>
      <c r="F132" s="25" t="s">
        <v>478</v>
      </c>
      <c r="G132" s="26" t="s">
        <v>15</v>
      </c>
      <c r="H132" s="27" t="n">
        <f aca="false">IFERROR(INDEX(Config!$B$3:$B$8,MATCH($G132,Config!$A$3:$A$8,0)),0)</f>
        <v>0</v>
      </c>
      <c r="I132" s="28" t="n">
        <f aca="false">IFERROR(INDEX(Config!$C$3:$C$8,MATCH($G132,Config!$A$3:$A$8,0)),0)</f>
        <v>1</v>
      </c>
      <c r="J132" s="25" t="s">
        <v>479</v>
      </c>
    </row>
    <row r="133" customFormat="false" ht="15" hidden="false" customHeight="true" outlineLevel="0" collapsed="false">
      <c r="A133" s="23" t="n">
        <v>129</v>
      </c>
      <c r="B133" s="23" t="s">
        <v>27</v>
      </c>
      <c r="C133" s="23" t="s">
        <v>56</v>
      </c>
      <c r="D133" s="23" t="s">
        <v>57</v>
      </c>
      <c r="E133" s="24" t="s">
        <v>480</v>
      </c>
      <c r="F133" s="25" t="s">
        <v>481</v>
      </c>
      <c r="G133" s="26" t="s">
        <v>15</v>
      </c>
      <c r="H133" s="27" t="n">
        <f aca="false">IFERROR(INDEX(Config!$B$3:$B$8,MATCH($G133,Config!$A$3:$A$8,0)),0)</f>
        <v>0</v>
      </c>
      <c r="I133" s="28" t="n">
        <f aca="false">IFERROR(INDEX(Config!$C$3:$C$8,MATCH($G133,Config!$A$3:$A$8,0)),0)</f>
        <v>1</v>
      </c>
      <c r="J133" s="25"/>
    </row>
    <row r="134" customFormat="false" ht="15" hidden="false" customHeight="true" outlineLevel="0" collapsed="false">
      <c r="A134" s="23" t="n">
        <v>130</v>
      </c>
      <c r="B134" s="23" t="s">
        <v>27</v>
      </c>
      <c r="C134" s="23" t="s">
        <v>56</v>
      </c>
      <c r="D134" s="23" t="s">
        <v>57</v>
      </c>
      <c r="E134" s="24" t="s">
        <v>482</v>
      </c>
      <c r="F134" s="25" t="s">
        <v>483</v>
      </c>
      <c r="G134" s="26" t="s">
        <v>15</v>
      </c>
      <c r="H134" s="27" t="n">
        <f aca="false">IFERROR(INDEX(Config!$B$3:$B$8,MATCH($G134,Config!$A$3:$A$8,0)),0)</f>
        <v>0</v>
      </c>
      <c r="I134" s="28" t="n">
        <f aca="false">IFERROR(INDEX(Config!$C$3:$C$8,MATCH($G134,Config!$A$3:$A$8,0)),0)</f>
        <v>1</v>
      </c>
      <c r="J134" s="25"/>
    </row>
    <row r="135" customFormat="false" ht="15" hidden="false" customHeight="true" outlineLevel="0" collapsed="false">
      <c r="A135" s="23" t="n">
        <v>131</v>
      </c>
      <c r="B135" s="23" t="s">
        <v>27</v>
      </c>
      <c r="C135" s="23" t="s">
        <v>56</v>
      </c>
      <c r="D135" s="23" t="s">
        <v>57</v>
      </c>
      <c r="E135" s="24" t="s">
        <v>484</v>
      </c>
      <c r="F135" s="25" t="s">
        <v>485</v>
      </c>
      <c r="G135" s="26" t="s">
        <v>15</v>
      </c>
      <c r="H135" s="27" t="n">
        <f aca="false">IFERROR(INDEX(Config!$B$3:$B$8,MATCH($G135,Config!$A$3:$A$8,0)),0)</f>
        <v>0</v>
      </c>
      <c r="I135" s="28" t="n">
        <f aca="false">IFERROR(INDEX(Config!$C$3:$C$8,MATCH($G135,Config!$A$3:$A$8,0)),0)</f>
        <v>1</v>
      </c>
      <c r="J135" s="25" t="s">
        <v>486</v>
      </c>
    </row>
    <row r="136" customFormat="false" ht="15" hidden="false" customHeight="true" outlineLevel="0" collapsed="false">
      <c r="A136" s="23" t="n">
        <v>132</v>
      </c>
      <c r="B136" s="23" t="s">
        <v>27</v>
      </c>
      <c r="C136" s="23" t="s">
        <v>56</v>
      </c>
      <c r="D136" s="23" t="s">
        <v>57</v>
      </c>
      <c r="E136" s="24" t="s">
        <v>487</v>
      </c>
      <c r="F136" s="25" t="s">
        <v>488</v>
      </c>
      <c r="G136" s="26" t="s">
        <v>15</v>
      </c>
      <c r="H136" s="27" t="n">
        <f aca="false">IFERROR(INDEX(Config!$B$3:$B$8,MATCH($G136,Config!$A$3:$A$8,0)),0)</f>
        <v>0</v>
      </c>
      <c r="I136" s="28" t="n">
        <f aca="false">IFERROR(INDEX(Config!$C$3:$C$8,MATCH($G136,Config!$A$3:$A$8,0)),0)</f>
        <v>1</v>
      </c>
      <c r="J136" s="25" t="s">
        <v>489</v>
      </c>
    </row>
    <row r="137" customFormat="false" ht="15" hidden="false" customHeight="true" outlineLevel="0" collapsed="false">
      <c r="A137" s="23" t="n">
        <v>133</v>
      </c>
      <c r="B137" s="23" t="s">
        <v>27</v>
      </c>
      <c r="C137" s="23" t="s">
        <v>56</v>
      </c>
      <c r="D137" s="23" t="s">
        <v>57</v>
      </c>
      <c r="E137" s="24" t="s">
        <v>490</v>
      </c>
      <c r="F137" s="25" t="s">
        <v>491</v>
      </c>
      <c r="G137" s="26" t="s">
        <v>15</v>
      </c>
      <c r="H137" s="27" t="n">
        <f aca="false">IFERROR(INDEX(Config!$B$3:$B$8,MATCH($G137,Config!$A$3:$A$8,0)),0)</f>
        <v>0</v>
      </c>
      <c r="I137" s="28" t="n">
        <f aca="false">IFERROR(INDEX(Config!$C$3:$C$8,MATCH($G137,Config!$A$3:$A$8,0)),0)</f>
        <v>1</v>
      </c>
      <c r="J137" s="25"/>
    </row>
    <row r="138" customFormat="false" ht="15" hidden="false" customHeight="true" outlineLevel="0" collapsed="false">
      <c r="A138" s="23" t="n">
        <v>134</v>
      </c>
      <c r="B138" s="23" t="s">
        <v>27</v>
      </c>
      <c r="C138" s="23" t="s">
        <v>56</v>
      </c>
      <c r="D138" s="23" t="s">
        <v>57</v>
      </c>
      <c r="E138" s="24" t="s">
        <v>492</v>
      </c>
      <c r="F138" s="25" t="s">
        <v>493</v>
      </c>
      <c r="G138" s="26" t="s">
        <v>15</v>
      </c>
      <c r="H138" s="27" t="n">
        <f aca="false">IFERROR(INDEX(Config!$B$3:$B$8,MATCH($G138,Config!$A$3:$A$8,0)),0)</f>
        <v>0</v>
      </c>
      <c r="I138" s="28" t="n">
        <f aca="false">IFERROR(INDEX(Config!$C$3:$C$8,MATCH($G138,Config!$A$3:$A$8,0)),0)</f>
        <v>1</v>
      </c>
      <c r="J138" s="25"/>
    </row>
    <row r="139" customFormat="false" ht="15" hidden="false" customHeight="true" outlineLevel="0" collapsed="false">
      <c r="A139" s="23" t="n">
        <v>135</v>
      </c>
      <c r="B139" s="23" t="s">
        <v>27</v>
      </c>
      <c r="C139" s="23" t="s">
        <v>56</v>
      </c>
      <c r="D139" s="23" t="s">
        <v>57</v>
      </c>
      <c r="E139" s="24" t="s">
        <v>494</v>
      </c>
      <c r="F139" s="25" t="s">
        <v>473</v>
      </c>
      <c r="G139" s="26" t="s">
        <v>15</v>
      </c>
      <c r="H139" s="27" t="n">
        <f aca="false">IFERROR(INDEX(Config!$B$3:$B$8,MATCH($G139,Config!$A$3:$A$8,0)),0)</f>
        <v>0</v>
      </c>
      <c r="I139" s="28" t="n">
        <f aca="false">IFERROR(INDEX(Config!$C$3:$C$8,MATCH($G139,Config!$A$3:$A$8,0)),0)</f>
        <v>1</v>
      </c>
      <c r="J139" s="25"/>
    </row>
    <row r="140" customFormat="false" ht="15" hidden="false" customHeight="true" outlineLevel="0" collapsed="false">
      <c r="A140" s="23" t="n">
        <v>136</v>
      </c>
      <c r="B140" s="23" t="s">
        <v>27</v>
      </c>
      <c r="C140" s="23" t="s">
        <v>58</v>
      </c>
      <c r="D140" s="23" t="s">
        <v>59</v>
      </c>
      <c r="E140" s="24" t="s">
        <v>495</v>
      </c>
      <c r="F140" s="25" t="s">
        <v>496</v>
      </c>
      <c r="G140" s="26" t="s">
        <v>15</v>
      </c>
      <c r="H140" s="27" t="n">
        <f aca="false">IFERROR(INDEX(Config!$B$3:$B$8,MATCH($G140,Config!$A$3:$A$8,0)),0)</f>
        <v>0</v>
      </c>
      <c r="I140" s="28" t="n">
        <f aca="false">IFERROR(INDEX(Config!$C$3:$C$8,MATCH($G140,Config!$A$3:$A$8,0)),0)</f>
        <v>1</v>
      </c>
      <c r="J140" s="25"/>
    </row>
    <row r="141" customFormat="false" ht="15" hidden="false" customHeight="true" outlineLevel="0" collapsed="false">
      <c r="A141" s="23" t="n">
        <v>137</v>
      </c>
      <c r="B141" s="23" t="s">
        <v>27</v>
      </c>
      <c r="C141" s="23" t="s">
        <v>58</v>
      </c>
      <c r="D141" s="23" t="s">
        <v>59</v>
      </c>
      <c r="E141" s="24" t="s">
        <v>497</v>
      </c>
      <c r="F141" s="25" t="s">
        <v>498</v>
      </c>
      <c r="G141" s="26" t="s">
        <v>15</v>
      </c>
      <c r="H141" s="27" t="n">
        <f aca="false">IFERROR(INDEX(Config!$B$3:$B$8,MATCH($G141,Config!$A$3:$A$8,0)),0)</f>
        <v>0</v>
      </c>
      <c r="I141" s="28" t="n">
        <f aca="false">IFERROR(INDEX(Config!$C$3:$C$8,MATCH($G141,Config!$A$3:$A$8,0)),0)</f>
        <v>1</v>
      </c>
      <c r="J141" s="25"/>
    </row>
    <row r="142" customFormat="false" ht="15" hidden="false" customHeight="true" outlineLevel="0" collapsed="false">
      <c r="A142" s="23" t="n">
        <v>138</v>
      </c>
      <c r="B142" s="23" t="s">
        <v>27</v>
      </c>
      <c r="C142" s="23" t="s">
        <v>58</v>
      </c>
      <c r="D142" s="23" t="s">
        <v>59</v>
      </c>
      <c r="E142" s="24" t="s">
        <v>499</v>
      </c>
      <c r="F142" s="25" t="s">
        <v>500</v>
      </c>
      <c r="G142" s="26" t="s">
        <v>15</v>
      </c>
      <c r="H142" s="27" t="n">
        <f aca="false">IFERROR(INDEX(Config!$B$3:$B$8,MATCH($G142,Config!$A$3:$A$8,0)),0)</f>
        <v>0</v>
      </c>
      <c r="I142" s="28" t="n">
        <f aca="false">IFERROR(INDEX(Config!$C$3:$C$8,MATCH($G142,Config!$A$3:$A$8,0)),0)</f>
        <v>1</v>
      </c>
      <c r="J142" s="25"/>
    </row>
    <row r="143" customFormat="false" ht="15" hidden="false" customHeight="true" outlineLevel="0" collapsed="false">
      <c r="A143" s="23" t="n">
        <v>139</v>
      </c>
      <c r="B143" s="23" t="s">
        <v>27</v>
      </c>
      <c r="C143" s="23" t="s">
        <v>58</v>
      </c>
      <c r="D143" s="23" t="s">
        <v>59</v>
      </c>
      <c r="E143" s="24" t="s">
        <v>501</v>
      </c>
      <c r="F143" s="25" t="s">
        <v>502</v>
      </c>
      <c r="G143" s="26" t="s">
        <v>15</v>
      </c>
      <c r="H143" s="27" t="n">
        <f aca="false">IFERROR(INDEX(Config!$B$3:$B$8,MATCH($G143,Config!$A$3:$A$8,0)),0)</f>
        <v>0</v>
      </c>
      <c r="I143" s="28" t="n">
        <f aca="false">IFERROR(INDEX(Config!$C$3:$C$8,MATCH($G143,Config!$A$3:$A$8,0)),0)</f>
        <v>1</v>
      </c>
      <c r="J143" s="25"/>
    </row>
    <row r="144" customFormat="false" ht="15" hidden="false" customHeight="true" outlineLevel="0" collapsed="false">
      <c r="A144" s="23" t="n">
        <v>140</v>
      </c>
      <c r="B144" s="23" t="s">
        <v>27</v>
      </c>
      <c r="C144" s="23" t="s">
        <v>58</v>
      </c>
      <c r="D144" s="23" t="s">
        <v>59</v>
      </c>
      <c r="E144" s="24" t="s">
        <v>503</v>
      </c>
      <c r="F144" s="25" t="s">
        <v>504</v>
      </c>
      <c r="G144" s="26" t="s">
        <v>15</v>
      </c>
      <c r="H144" s="27" t="n">
        <f aca="false">IFERROR(INDEX(Config!$B$3:$B$8,MATCH($G144,Config!$A$3:$A$8,0)),0)</f>
        <v>0</v>
      </c>
      <c r="I144" s="28" t="n">
        <f aca="false">IFERROR(INDEX(Config!$C$3:$C$8,MATCH($G144,Config!$A$3:$A$8,0)),0)</f>
        <v>1</v>
      </c>
      <c r="J144" s="25"/>
    </row>
    <row r="145" customFormat="false" ht="23.25" hidden="false" customHeight="true" outlineLevel="0" collapsed="false">
      <c r="A145" s="23" t="n">
        <v>141</v>
      </c>
      <c r="B145" s="23" t="s">
        <v>27</v>
      </c>
      <c r="C145" s="23" t="s">
        <v>58</v>
      </c>
      <c r="D145" s="23" t="s">
        <v>59</v>
      </c>
      <c r="E145" s="24" t="s">
        <v>505</v>
      </c>
      <c r="F145" s="25" t="s">
        <v>506</v>
      </c>
      <c r="G145" s="26" t="s">
        <v>15</v>
      </c>
      <c r="H145" s="27" t="n">
        <f aca="false">IFERROR(INDEX(Config!$B$3:$B$8,MATCH($G145,Config!$A$3:$A$8,0)),0)</f>
        <v>0</v>
      </c>
      <c r="I145" s="28" t="n">
        <f aca="false">IFERROR(INDEX(Config!$C$3:$C$8,MATCH($G145,Config!$A$3:$A$8,0)),0)</f>
        <v>1</v>
      </c>
      <c r="J145" s="25"/>
    </row>
    <row r="146" customFormat="false" ht="15" hidden="false" customHeight="true" outlineLevel="0" collapsed="false">
      <c r="A146" s="23" t="n">
        <v>142</v>
      </c>
      <c r="B146" s="23" t="s">
        <v>27</v>
      </c>
      <c r="C146" s="23" t="s">
        <v>58</v>
      </c>
      <c r="D146" s="23" t="s">
        <v>59</v>
      </c>
      <c r="E146" s="24" t="s">
        <v>507</v>
      </c>
      <c r="F146" s="25" t="s">
        <v>473</v>
      </c>
      <c r="G146" s="26" t="s">
        <v>15</v>
      </c>
      <c r="H146" s="27" t="n">
        <f aca="false">IFERROR(INDEX(Config!$B$3:$B$8,MATCH($G146,Config!$A$3:$A$8,0)),0)</f>
        <v>0</v>
      </c>
      <c r="I146" s="28" t="n">
        <f aca="false">IFERROR(INDEX(Config!$C$3:$C$8,MATCH($G146,Config!$A$3:$A$8,0)),0)</f>
        <v>1</v>
      </c>
      <c r="J146" s="25"/>
    </row>
    <row r="147" customFormat="false" ht="15" hidden="false" customHeight="true" outlineLevel="0" collapsed="false">
      <c r="A147" s="23" t="n">
        <v>143</v>
      </c>
      <c r="B147" s="23" t="s">
        <v>27</v>
      </c>
      <c r="C147" s="23" t="s">
        <v>60</v>
      </c>
      <c r="D147" s="23" t="s">
        <v>61</v>
      </c>
      <c r="E147" s="24" t="s">
        <v>508</v>
      </c>
      <c r="F147" s="25" t="s">
        <v>509</v>
      </c>
      <c r="G147" s="26" t="s">
        <v>15</v>
      </c>
      <c r="H147" s="27" t="n">
        <f aca="false">IFERROR(INDEX(Config!$B$3:$B$8,MATCH($G147,Config!$A$3:$A$8,0)),0)</f>
        <v>0</v>
      </c>
      <c r="I147" s="28" t="n">
        <f aca="false">IFERROR(INDEX(Config!$C$3:$C$8,MATCH($G147,Config!$A$3:$A$8,0)),0)</f>
        <v>1</v>
      </c>
      <c r="J147" s="25"/>
    </row>
    <row r="148" customFormat="false" ht="23.25" hidden="false" customHeight="true" outlineLevel="0" collapsed="false">
      <c r="A148" s="23" t="n">
        <v>144</v>
      </c>
      <c r="B148" s="23" t="s">
        <v>27</v>
      </c>
      <c r="C148" s="23" t="s">
        <v>60</v>
      </c>
      <c r="D148" s="23" t="s">
        <v>61</v>
      </c>
      <c r="E148" s="24" t="s">
        <v>510</v>
      </c>
      <c r="F148" s="25" t="s">
        <v>511</v>
      </c>
      <c r="G148" s="26" t="s">
        <v>15</v>
      </c>
      <c r="H148" s="27" t="n">
        <f aca="false">IFERROR(INDEX(Config!$B$3:$B$8,MATCH($G148,Config!$A$3:$A$8,0)),0)</f>
        <v>0</v>
      </c>
      <c r="I148" s="28" t="n">
        <f aca="false">IFERROR(INDEX(Config!$C$3:$C$8,MATCH($G148,Config!$A$3:$A$8,0)),0)</f>
        <v>1</v>
      </c>
      <c r="J148" s="25"/>
    </row>
    <row r="149" customFormat="false" ht="15" hidden="false" customHeight="true" outlineLevel="0" collapsed="false">
      <c r="A149" s="23" t="n">
        <v>145</v>
      </c>
      <c r="B149" s="23" t="s">
        <v>27</v>
      </c>
      <c r="C149" s="23" t="s">
        <v>60</v>
      </c>
      <c r="D149" s="23" t="s">
        <v>61</v>
      </c>
      <c r="E149" s="24" t="s">
        <v>512</v>
      </c>
      <c r="F149" s="25" t="s">
        <v>513</v>
      </c>
      <c r="G149" s="26" t="s">
        <v>15</v>
      </c>
      <c r="H149" s="27" t="n">
        <f aca="false">IFERROR(INDEX(Config!$B$3:$B$8,MATCH($G149,Config!$A$3:$A$8,0)),0)</f>
        <v>0</v>
      </c>
      <c r="I149" s="28" t="n">
        <f aca="false">IFERROR(INDEX(Config!$C$3:$C$8,MATCH($G149,Config!$A$3:$A$8,0)),0)</f>
        <v>1</v>
      </c>
      <c r="J149" s="25" t="s">
        <v>514</v>
      </c>
    </row>
    <row r="150" customFormat="false" ht="15" hidden="false" customHeight="true" outlineLevel="0" collapsed="false">
      <c r="A150" s="23" t="n">
        <v>146</v>
      </c>
      <c r="B150" s="23" t="s">
        <v>27</v>
      </c>
      <c r="C150" s="23" t="s">
        <v>60</v>
      </c>
      <c r="D150" s="23" t="s">
        <v>61</v>
      </c>
      <c r="E150" s="24" t="s">
        <v>515</v>
      </c>
      <c r="F150" s="25" t="s">
        <v>516</v>
      </c>
      <c r="G150" s="26" t="s">
        <v>15</v>
      </c>
      <c r="H150" s="27" t="n">
        <f aca="false">IFERROR(INDEX(Config!$B$3:$B$8,MATCH($G150,Config!$A$3:$A$8,0)),0)</f>
        <v>0</v>
      </c>
      <c r="I150" s="28" t="n">
        <f aca="false">IFERROR(INDEX(Config!$C$3:$C$8,MATCH($G150,Config!$A$3:$A$8,0)),0)</f>
        <v>1</v>
      </c>
      <c r="J150" s="25"/>
    </row>
    <row r="151" customFormat="false" ht="15" hidden="false" customHeight="true" outlineLevel="0" collapsed="false">
      <c r="A151" s="23" t="n">
        <v>147</v>
      </c>
      <c r="B151" s="23" t="s">
        <v>27</v>
      </c>
      <c r="C151" s="23" t="s">
        <v>60</v>
      </c>
      <c r="D151" s="23" t="s">
        <v>61</v>
      </c>
      <c r="E151" s="24" t="s">
        <v>517</v>
      </c>
      <c r="F151" s="25" t="s">
        <v>518</v>
      </c>
      <c r="G151" s="26" t="s">
        <v>15</v>
      </c>
      <c r="H151" s="27" t="n">
        <f aca="false">IFERROR(INDEX(Config!$B$3:$B$8,MATCH($G151,Config!$A$3:$A$8,0)),0)</f>
        <v>0</v>
      </c>
      <c r="I151" s="28" t="n">
        <f aca="false">IFERROR(INDEX(Config!$C$3:$C$8,MATCH($G151,Config!$A$3:$A$8,0)),0)</f>
        <v>1</v>
      </c>
      <c r="J151" s="25"/>
    </row>
    <row r="152" customFormat="false" ht="15" hidden="false" customHeight="true" outlineLevel="0" collapsed="false">
      <c r="A152" s="23" t="n">
        <v>148</v>
      </c>
      <c r="B152" s="23" t="s">
        <v>27</v>
      </c>
      <c r="C152" s="23" t="s">
        <v>60</v>
      </c>
      <c r="D152" s="23" t="s">
        <v>61</v>
      </c>
      <c r="E152" s="24" t="s">
        <v>519</v>
      </c>
      <c r="F152" s="25" t="s">
        <v>520</v>
      </c>
      <c r="G152" s="26" t="s">
        <v>15</v>
      </c>
      <c r="H152" s="27" t="n">
        <f aca="false">IFERROR(INDEX(Config!$B$3:$B$8,MATCH($G152,Config!$A$3:$A$8,0)),0)</f>
        <v>0</v>
      </c>
      <c r="I152" s="28" t="n">
        <f aca="false">IFERROR(INDEX(Config!$C$3:$C$8,MATCH($G152,Config!$A$3:$A$8,0)),0)</f>
        <v>1</v>
      </c>
      <c r="J152" s="25"/>
    </row>
    <row r="153" customFormat="false" ht="15" hidden="false" customHeight="true" outlineLevel="0" collapsed="false">
      <c r="A153" s="23" t="n">
        <v>149</v>
      </c>
      <c r="B153" s="23" t="s">
        <v>27</v>
      </c>
      <c r="C153" s="23" t="s">
        <v>60</v>
      </c>
      <c r="D153" s="23" t="s">
        <v>61</v>
      </c>
      <c r="E153" s="24" t="s">
        <v>521</v>
      </c>
      <c r="F153" s="25" t="s">
        <v>522</v>
      </c>
      <c r="G153" s="26" t="s">
        <v>15</v>
      </c>
      <c r="H153" s="27" t="n">
        <f aca="false">IFERROR(INDEX(Config!$B$3:$B$8,MATCH($G153,Config!$A$3:$A$8,0)),0)</f>
        <v>0</v>
      </c>
      <c r="I153" s="28" t="n">
        <f aca="false">IFERROR(INDEX(Config!$C$3:$C$8,MATCH($G153,Config!$A$3:$A$8,0)),0)</f>
        <v>1</v>
      </c>
      <c r="J153" s="25" t="s">
        <v>523</v>
      </c>
    </row>
    <row r="154" customFormat="false" ht="15" hidden="false" customHeight="true" outlineLevel="0" collapsed="false">
      <c r="A154" s="23" t="n">
        <v>150</v>
      </c>
      <c r="B154" s="23" t="s">
        <v>27</v>
      </c>
      <c r="C154" s="23" t="s">
        <v>60</v>
      </c>
      <c r="D154" s="23" t="s">
        <v>61</v>
      </c>
      <c r="E154" s="24" t="s">
        <v>524</v>
      </c>
      <c r="F154" s="25" t="s">
        <v>525</v>
      </c>
      <c r="G154" s="26" t="s">
        <v>15</v>
      </c>
      <c r="H154" s="27" t="n">
        <f aca="false">IFERROR(INDEX(Config!$B$3:$B$8,MATCH($G154,Config!$A$3:$A$8,0)),0)</f>
        <v>0</v>
      </c>
      <c r="I154" s="28" t="n">
        <f aca="false">IFERROR(INDEX(Config!$C$3:$C$8,MATCH($G154,Config!$A$3:$A$8,0)),0)</f>
        <v>1</v>
      </c>
      <c r="J154" s="25" t="s">
        <v>526</v>
      </c>
    </row>
    <row r="155" customFormat="false" ht="15" hidden="false" customHeight="true" outlineLevel="0" collapsed="false">
      <c r="A155" s="23" t="n">
        <v>151</v>
      </c>
      <c r="B155" s="23" t="s">
        <v>27</v>
      </c>
      <c r="C155" s="23" t="s">
        <v>60</v>
      </c>
      <c r="D155" s="23" t="s">
        <v>61</v>
      </c>
      <c r="E155" s="24" t="s">
        <v>527</v>
      </c>
      <c r="F155" s="25" t="s">
        <v>473</v>
      </c>
      <c r="G155" s="26" t="s">
        <v>15</v>
      </c>
      <c r="H155" s="27" t="n">
        <f aca="false">IFERROR(INDEX(Config!$B$3:$B$8,MATCH($G155,Config!$A$3:$A$8,0)),0)</f>
        <v>0</v>
      </c>
      <c r="I155" s="28" t="n">
        <f aca="false">IFERROR(INDEX(Config!$C$3:$C$8,MATCH($G155,Config!$A$3:$A$8,0)),0)</f>
        <v>1</v>
      </c>
      <c r="J155" s="25"/>
    </row>
    <row r="156" customFormat="false" ht="15" hidden="false" customHeight="true" outlineLevel="0" collapsed="false">
      <c r="A156" s="23" t="n">
        <v>152</v>
      </c>
      <c r="B156" s="23" t="s">
        <v>28</v>
      </c>
      <c r="C156" s="23" t="s">
        <v>62</v>
      </c>
      <c r="D156" s="23" t="s">
        <v>63</v>
      </c>
      <c r="E156" s="24" t="s">
        <v>528</v>
      </c>
      <c r="F156" s="25" t="s">
        <v>529</v>
      </c>
      <c r="G156" s="26" t="s">
        <v>15</v>
      </c>
      <c r="H156" s="27" t="n">
        <f aca="false">IFERROR(INDEX(Config!$B$3:$B$8,MATCH($G156,Config!$A$3:$A$8,0)),0)</f>
        <v>0</v>
      </c>
      <c r="I156" s="28" t="n">
        <f aca="false">IFERROR(INDEX(Config!$C$3:$C$8,MATCH($G156,Config!$A$3:$A$8,0)),0)</f>
        <v>1</v>
      </c>
      <c r="J156" s="25" t="s">
        <v>530</v>
      </c>
    </row>
    <row r="157" customFormat="false" ht="15" hidden="false" customHeight="true" outlineLevel="0" collapsed="false">
      <c r="A157" s="23" t="n">
        <v>153</v>
      </c>
      <c r="B157" s="23" t="s">
        <v>28</v>
      </c>
      <c r="C157" s="23" t="s">
        <v>62</v>
      </c>
      <c r="D157" s="23" t="s">
        <v>63</v>
      </c>
      <c r="E157" s="24" t="s">
        <v>531</v>
      </c>
      <c r="F157" s="25" t="s">
        <v>532</v>
      </c>
      <c r="G157" s="26" t="s">
        <v>15</v>
      </c>
      <c r="H157" s="27" t="n">
        <f aca="false">IFERROR(INDEX(Config!$B$3:$B$8,MATCH($G157,Config!$A$3:$A$8,0)),0)</f>
        <v>0</v>
      </c>
      <c r="I157" s="28" t="n">
        <f aca="false">IFERROR(INDEX(Config!$C$3:$C$8,MATCH($G157,Config!$A$3:$A$8,0)),0)</f>
        <v>1</v>
      </c>
      <c r="J157" s="25"/>
    </row>
    <row r="158" customFormat="false" ht="15" hidden="false" customHeight="true" outlineLevel="0" collapsed="false">
      <c r="A158" s="23" t="n">
        <v>154</v>
      </c>
      <c r="B158" s="23" t="s">
        <v>28</v>
      </c>
      <c r="C158" s="23" t="s">
        <v>62</v>
      </c>
      <c r="D158" s="23" t="s">
        <v>63</v>
      </c>
      <c r="E158" s="24" t="s">
        <v>533</v>
      </c>
      <c r="F158" s="25" t="s">
        <v>534</v>
      </c>
      <c r="G158" s="26" t="s">
        <v>15</v>
      </c>
      <c r="H158" s="27" t="n">
        <f aca="false">IFERROR(INDEX(Config!$B$3:$B$8,MATCH($G158,Config!$A$3:$A$8,0)),0)</f>
        <v>0</v>
      </c>
      <c r="I158" s="28" t="n">
        <f aca="false">IFERROR(INDEX(Config!$C$3:$C$8,MATCH($G158,Config!$A$3:$A$8,0)),0)</f>
        <v>1</v>
      </c>
      <c r="J158" s="25"/>
    </row>
    <row r="159" customFormat="false" ht="15" hidden="false" customHeight="true" outlineLevel="0" collapsed="false">
      <c r="A159" s="23" t="n">
        <v>155</v>
      </c>
      <c r="B159" s="23" t="s">
        <v>28</v>
      </c>
      <c r="C159" s="23" t="s">
        <v>62</v>
      </c>
      <c r="D159" s="23" t="s">
        <v>63</v>
      </c>
      <c r="E159" s="24" t="s">
        <v>535</v>
      </c>
      <c r="F159" s="25" t="s">
        <v>536</v>
      </c>
      <c r="G159" s="26" t="s">
        <v>15</v>
      </c>
      <c r="H159" s="27" t="n">
        <f aca="false">IFERROR(INDEX(Config!$B$3:$B$8,MATCH($G159,Config!$A$3:$A$8,0)),0)</f>
        <v>0</v>
      </c>
      <c r="I159" s="28" t="n">
        <f aca="false">IFERROR(INDEX(Config!$C$3:$C$8,MATCH($G159,Config!$A$3:$A$8,0)),0)</f>
        <v>1</v>
      </c>
      <c r="J159" s="25"/>
    </row>
    <row r="160" customFormat="false" ht="15" hidden="false" customHeight="true" outlineLevel="0" collapsed="false">
      <c r="A160" s="23" t="n">
        <v>156</v>
      </c>
      <c r="B160" s="23" t="s">
        <v>28</v>
      </c>
      <c r="C160" s="23" t="s">
        <v>62</v>
      </c>
      <c r="D160" s="23" t="s">
        <v>63</v>
      </c>
      <c r="E160" s="24" t="s">
        <v>537</v>
      </c>
      <c r="F160" s="25" t="s">
        <v>538</v>
      </c>
      <c r="G160" s="26" t="s">
        <v>15</v>
      </c>
      <c r="H160" s="27" t="n">
        <f aca="false">IFERROR(INDEX(Config!$B$3:$B$8,MATCH($G160,Config!$A$3:$A$8,0)),0)</f>
        <v>0</v>
      </c>
      <c r="I160" s="28" t="n">
        <f aca="false">IFERROR(INDEX(Config!$C$3:$C$8,MATCH($G160,Config!$A$3:$A$8,0)),0)</f>
        <v>1</v>
      </c>
      <c r="J160" s="25"/>
    </row>
    <row r="161" customFormat="false" ht="15" hidden="false" customHeight="true" outlineLevel="0" collapsed="false">
      <c r="A161" s="23" t="n">
        <v>157</v>
      </c>
      <c r="B161" s="23" t="s">
        <v>28</v>
      </c>
      <c r="C161" s="23" t="s">
        <v>62</v>
      </c>
      <c r="D161" s="23" t="s">
        <v>63</v>
      </c>
      <c r="E161" s="24" t="s">
        <v>539</v>
      </c>
      <c r="F161" s="25" t="s">
        <v>540</v>
      </c>
      <c r="G161" s="26" t="s">
        <v>15</v>
      </c>
      <c r="H161" s="27" t="n">
        <f aca="false">IFERROR(INDEX(Config!$B$3:$B$8,MATCH($G161,Config!$A$3:$A$8,0)),0)</f>
        <v>0</v>
      </c>
      <c r="I161" s="28" t="n">
        <f aca="false">IFERROR(INDEX(Config!$C$3:$C$8,MATCH($G161,Config!$A$3:$A$8,0)),0)</f>
        <v>1</v>
      </c>
      <c r="J161" s="25"/>
    </row>
    <row r="162" customFormat="false" ht="15" hidden="false" customHeight="true" outlineLevel="0" collapsed="false">
      <c r="A162" s="23" t="n">
        <v>158</v>
      </c>
      <c r="B162" s="23" t="s">
        <v>28</v>
      </c>
      <c r="C162" s="23" t="s">
        <v>62</v>
      </c>
      <c r="D162" s="23" t="s">
        <v>63</v>
      </c>
      <c r="E162" s="24" t="s">
        <v>541</v>
      </c>
      <c r="F162" s="25" t="s">
        <v>542</v>
      </c>
      <c r="G162" s="26" t="s">
        <v>15</v>
      </c>
      <c r="H162" s="27" t="n">
        <f aca="false">IFERROR(INDEX(Config!$B$3:$B$8,MATCH($G162,Config!$A$3:$A$8,0)),0)</f>
        <v>0</v>
      </c>
      <c r="I162" s="28" t="n">
        <f aca="false">IFERROR(INDEX(Config!$C$3:$C$8,MATCH($G162,Config!$A$3:$A$8,0)),0)</f>
        <v>1</v>
      </c>
      <c r="J162" s="25"/>
    </row>
    <row r="163" customFormat="false" ht="15" hidden="false" customHeight="true" outlineLevel="0" collapsed="false">
      <c r="A163" s="23" t="n">
        <v>159</v>
      </c>
      <c r="B163" s="23" t="s">
        <v>28</v>
      </c>
      <c r="C163" s="23" t="s">
        <v>62</v>
      </c>
      <c r="D163" s="23" t="s">
        <v>63</v>
      </c>
      <c r="E163" s="24" t="s">
        <v>543</v>
      </c>
      <c r="F163" s="25" t="s">
        <v>473</v>
      </c>
      <c r="G163" s="26" t="s">
        <v>15</v>
      </c>
      <c r="H163" s="27" t="n">
        <f aca="false">IFERROR(INDEX(Config!$B$3:$B$8,MATCH($G163,Config!$A$3:$A$8,0)),0)</f>
        <v>0</v>
      </c>
      <c r="I163" s="28" t="n">
        <f aca="false">IFERROR(INDEX(Config!$C$3:$C$8,MATCH($G163,Config!$A$3:$A$8,0)),0)</f>
        <v>1</v>
      </c>
      <c r="J163" s="25"/>
    </row>
    <row r="164" customFormat="false" ht="15" hidden="false" customHeight="true" outlineLevel="0" collapsed="false">
      <c r="A164" s="23" t="n">
        <v>160</v>
      </c>
      <c r="B164" s="23" t="s">
        <v>28</v>
      </c>
      <c r="C164" s="23" t="s">
        <v>62</v>
      </c>
      <c r="D164" s="23" t="s">
        <v>63</v>
      </c>
      <c r="E164" s="24" t="s">
        <v>544</v>
      </c>
      <c r="F164" s="25" t="s">
        <v>545</v>
      </c>
      <c r="G164" s="26" t="s">
        <v>15</v>
      </c>
      <c r="H164" s="27" t="n">
        <f aca="false">IFERROR(INDEX(Config!$B$3:$B$8,MATCH($G164,Config!$A$3:$A$8,0)),0)</f>
        <v>0</v>
      </c>
      <c r="I164" s="28" t="n">
        <f aca="false">IFERROR(INDEX(Config!$C$3:$C$8,MATCH($G164,Config!$A$3:$A$8,0)),0)</f>
        <v>1</v>
      </c>
      <c r="J164" s="25" t="s">
        <v>546</v>
      </c>
    </row>
    <row r="165" customFormat="false" ht="15" hidden="false" customHeight="true" outlineLevel="0" collapsed="false">
      <c r="A165" s="23" t="n">
        <v>161</v>
      </c>
      <c r="B165" s="23" t="s">
        <v>28</v>
      </c>
      <c r="C165" s="23" t="s">
        <v>64</v>
      </c>
      <c r="D165" s="23" t="s">
        <v>65</v>
      </c>
      <c r="E165" s="24" t="s">
        <v>547</v>
      </c>
      <c r="F165" s="25" t="s">
        <v>548</v>
      </c>
      <c r="G165" s="26" t="s">
        <v>15</v>
      </c>
      <c r="H165" s="27" t="n">
        <f aca="false">IFERROR(INDEX(Config!$B$3:$B$8,MATCH($G165,Config!$A$3:$A$8,0)),0)</f>
        <v>0</v>
      </c>
      <c r="I165" s="28" t="n">
        <f aca="false">IFERROR(INDEX(Config!$C$3:$C$8,MATCH($G165,Config!$A$3:$A$8,0)),0)</f>
        <v>1</v>
      </c>
      <c r="J165" s="25"/>
    </row>
    <row r="166" customFormat="false" ht="15" hidden="false" customHeight="true" outlineLevel="0" collapsed="false">
      <c r="A166" s="23" t="n">
        <v>162</v>
      </c>
      <c r="B166" s="23" t="s">
        <v>28</v>
      </c>
      <c r="C166" s="23" t="s">
        <v>64</v>
      </c>
      <c r="D166" s="23" t="s">
        <v>65</v>
      </c>
      <c r="E166" s="24" t="s">
        <v>549</v>
      </c>
      <c r="F166" s="25" t="s">
        <v>550</v>
      </c>
      <c r="G166" s="26" t="s">
        <v>15</v>
      </c>
      <c r="H166" s="27" t="n">
        <f aca="false">IFERROR(INDEX(Config!$B$3:$B$8,MATCH($G166,Config!$A$3:$A$8,0)),0)</f>
        <v>0</v>
      </c>
      <c r="I166" s="28" t="n">
        <f aca="false">IFERROR(INDEX(Config!$C$3:$C$8,MATCH($G166,Config!$A$3:$A$8,0)),0)</f>
        <v>1</v>
      </c>
      <c r="J166" s="25"/>
    </row>
    <row r="167" customFormat="false" ht="15" hidden="false" customHeight="true" outlineLevel="0" collapsed="false">
      <c r="A167" s="23" t="n">
        <v>163</v>
      </c>
      <c r="B167" s="23" t="s">
        <v>28</v>
      </c>
      <c r="C167" s="23" t="s">
        <v>64</v>
      </c>
      <c r="D167" s="23" t="s">
        <v>65</v>
      </c>
      <c r="E167" s="24" t="s">
        <v>551</v>
      </c>
      <c r="F167" s="25" t="s">
        <v>552</v>
      </c>
      <c r="G167" s="26" t="s">
        <v>15</v>
      </c>
      <c r="H167" s="27" t="n">
        <f aca="false">IFERROR(INDEX(Config!$B$3:$B$8,MATCH($G167,Config!$A$3:$A$8,0)),0)</f>
        <v>0</v>
      </c>
      <c r="I167" s="28" t="n">
        <f aca="false">IFERROR(INDEX(Config!$C$3:$C$8,MATCH($G167,Config!$A$3:$A$8,0)),0)</f>
        <v>1</v>
      </c>
      <c r="J167" s="25"/>
    </row>
    <row r="168" customFormat="false" ht="15" hidden="false" customHeight="true" outlineLevel="0" collapsed="false">
      <c r="A168" s="23" t="n">
        <v>164</v>
      </c>
      <c r="B168" s="1" t="s">
        <v>28</v>
      </c>
      <c r="C168" s="1" t="s">
        <v>64</v>
      </c>
      <c r="D168" s="1" t="s">
        <v>65</v>
      </c>
      <c r="E168" s="1" t="s">
        <v>553</v>
      </c>
      <c r="F168" s="1" t="s">
        <v>554</v>
      </c>
      <c r="G168" s="29" t="s">
        <v>15</v>
      </c>
      <c r="H168" s="30" t="n">
        <f aca="false">IFERROR(INDEX(Config!$B$3:$B$8,MATCH($G168,Config!$A$3:$A$8,0)),0)</f>
        <v>0</v>
      </c>
      <c r="I168" s="1" t="n">
        <f aca="false">IFERROR(INDEX(Config!$C$3:$C$8,MATCH($G168,Config!$A$3:$A$8,0)),0)</f>
        <v>1</v>
      </c>
      <c r="J168" s="1" t="s">
        <v>555</v>
      </c>
    </row>
    <row r="169" customFormat="false" ht="15" hidden="false" customHeight="true" outlineLevel="0" collapsed="false">
      <c r="A169" s="23" t="n">
        <v>165</v>
      </c>
      <c r="B169" s="1" t="s">
        <v>28</v>
      </c>
      <c r="C169" s="1" t="s">
        <v>64</v>
      </c>
      <c r="D169" s="1" t="s">
        <v>65</v>
      </c>
      <c r="E169" s="1" t="s">
        <v>556</v>
      </c>
      <c r="F169" s="1" t="s">
        <v>557</v>
      </c>
      <c r="G169" s="29" t="s">
        <v>15</v>
      </c>
      <c r="H169" s="30" t="n">
        <f aca="false">IFERROR(INDEX(Config!$B$3:$B$8,MATCH($G169,Config!$A$3:$A$8,0)),0)</f>
        <v>0</v>
      </c>
      <c r="I169" s="1" t="n">
        <f aca="false">IFERROR(INDEX(Config!$C$3:$C$8,MATCH($G169,Config!$A$3:$A$8,0)),0)</f>
        <v>1</v>
      </c>
    </row>
    <row r="170" customFormat="false" ht="15" hidden="false" customHeight="true" outlineLevel="0" collapsed="false">
      <c r="A170" s="23" t="n">
        <v>166</v>
      </c>
      <c r="B170" s="1" t="s">
        <v>28</v>
      </c>
      <c r="C170" s="1" t="s">
        <v>64</v>
      </c>
      <c r="D170" s="1" t="s">
        <v>65</v>
      </c>
      <c r="E170" s="1" t="s">
        <v>558</v>
      </c>
      <c r="F170" s="1" t="s">
        <v>559</v>
      </c>
      <c r="G170" s="1" t="s">
        <v>15</v>
      </c>
      <c r="H170" s="30" t="n">
        <f aca="false">IFERROR(INDEX(Config!$B$3:$B$8,MATCH($G170,Config!$A$3:$A$8,0)),0)</f>
        <v>0</v>
      </c>
      <c r="I170" s="1" t="n">
        <f aca="false">IFERROR(INDEX(Config!$C$3:$C$8,MATCH($G170,Config!$A$3:$A$8,0)),0)</f>
        <v>1</v>
      </c>
    </row>
    <row r="171" customFormat="false" ht="15" hidden="false" customHeight="true" outlineLevel="0" collapsed="false">
      <c r="A171" s="23" t="n">
        <v>167</v>
      </c>
      <c r="B171" s="1" t="s">
        <v>28</v>
      </c>
      <c r="C171" s="1" t="s">
        <v>64</v>
      </c>
      <c r="D171" s="1" t="s">
        <v>65</v>
      </c>
      <c r="E171" s="1" t="s">
        <v>560</v>
      </c>
      <c r="F171" s="1" t="s">
        <v>561</v>
      </c>
      <c r="G171" s="1" t="s">
        <v>15</v>
      </c>
      <c r="H171" s="30" t="n">
        <f aca="false">IFERROR(INDEX(Config!$B$3:$B$8,MATCH($G171,Config!$A$3:$A$8,0)),0)</f>
        <v>0</v>
      </c>
      <c r="I171" s="1" t="n">
        <f aca="false">IFERROR(INDEX(Config!$C$3:$C$8,MATCH($G171,Config!$A$3:$A$8,0)),0)</f>
        <v>1</v>
      </c>
    </row>
    <row r="172" customFormat="false" ht="15" hidden="false" customHeight="true" outlineLevel="0" collapsed="false">
      <c r="A172" s="23" t="n">
        <v>168</v>
      </c>
      <c r="B172" s="1" t="s">
        <v>28</v>
      </c>
      <c r="C172" s="1" t="s">
        <v>66</v>
      </c>
      <c r="D172" s="1" t="s">
        <v>67</v>
      </c>
      <c r="E172" s="1" t="s">
        <v>562</v>
      </c>
      <c r="F172" s="1" t="s">
        <v>563</v>
      </c>
      <c r="G172" s="1" t="s">
        <v>15</v>
      </c>
      <c r="H172" s="30" t="n">
        <f aca="false">IFERROR(INDEX(Config!$B$3:$B$8,MATCH($G172,Config!$A$3:$A$8,0)),0)</f>
        <v>0</v>
      </c>
      <c r="I172" s="1" t="n">
        <f aca="false">IFERROR(INDEX(Config!$C$3:$C$8,MATCH($G172,Config!$A$3:$A$8,0)),0)</f>
        <v>1</v>
      </c>
    </row>
    <row r="173" customFormat="false" ht="15" hidden="false" customHeight="true" outlineLevel="0" collapsed="false">
      <c r="A173" s="23" t="n">
        <v>169</v>
      </c>
      <c r="B173" s="1" t="s">
        <v>28</v>
      </c>
      <c r="C173" s="1" t="s">
        <v>66</v>
      </c>
      <c r="D173" s="1" t="s">
        <v>67</v>
      </c>
      <c r="E173" s="1" t="s">
        <v>564</v>
      </c>
      <c r="F173" s="1" t="s">
        <v>565</v>
      </c>
      <c r="G173" s="1" t="s">
        <v>15</v>
      </c>
      <c r="H173" s="30" t="n">
        <f aca="false">IFERROR(INDEX(Config!$B$3:$B$8,MATCH($G173,Config!$A$3:$A$8,0)),0)</f>
        <v>0</v>
      </c>
      <c r="I173" s="1" t="n">
        <f aca="false">IFERROR(INDEX(Config!$C$3:$C$8,MATCH($G173,Config!$A$3:$A$8,0)),0)</f>
        <v>1</v>
      </c>
    </row>
    <row r="174" customFormat="false" ht="15" hidden="false" customHeight="true" outlineLevel="0" collapsed="false">
      <c r="A174" s="23" t="n">
        <v>170</v>
      </c>
      <c r="B174" s="1" t="s">
        <v>28</v>
      </c>
      <c r="C174" s="1" t="s">
        <v>66</v>
      </c>
      <c r="D174" s="1" t="s">
        <v>67</v>
      </c>
      <c r="E174" s="1" t="s">
        <v>566</v>
      </c>
      <c r="F174" s="1" t="s">
        <v>567</v>
      </c>
      <c r="G174" s="1" t="s">
        <v>15</v>
      </c>
      <c r="H174" s="30" t="n">
        <f aca="false">IFERROR(INDEX(Config!$B$3:$B$8,MATCH($G174,Config!$A$3:$A$8,0)),0)</f>
        <v>0</v>
      </c>
      <c r="I174" s="1" t="n">
        <f aca="false">IFERROR(INDEX(Config!$C$3:$C$8,MATCH($G174,Config!$A$3:$A$8,0)),0)</f>
        <v>1</v>
      </c>
    </row>
    <row r="175" customFormat="false" ht="15" hidden="false" customHeight="true" outlineLevel="0" collapsed="false">
      <c r="A175" s="23" t="n">
        <v>171</v>
      </c>
      <c r="B175" s="1" t="s">
        <v>28</v>
      </c>
      <c r="C175" s="1" t="s">
        <v>66</v>
      </c>
      <c r="D175" s="1" t="s">
        <v>67</v>
      </c>
      <c r="E175" s="1" t="s">
        <v>568</v>
      </c>
      <c r="F175" s="1" t="s">
        <v>569</v>
      </c>
      <c r="G175" s="1" t="s">
        <v>14</v>
      </c>
      <c r="H175" s="30" t="n">
        <f aca="false">IFERROR(INDEX(Config!$B$3:$B$8,MATCH($G175,Config!$A$3:$A$8,0)),0)</f>
        <v>0.5</v>
      </c>
      <c r="I175" s="1" t="n">
        <f aca="false">IFERROR(INDEX(Config!$C$3:$C$8,MATCH($G175,Config!$A$3:$A$8,0)),0)</f>
        <v>1</v>
      </c>
      <c r="J175" s="1" t="s">
        <v>570</v>
      </c>
    </row>
    <row r="176" customFormat="false" ht="15" hidden="false" customHeight="true" outlineLevel="0" collapsed="false">
      <c r="A176" s="23" t="n">
        <v>172</v>
      </c>
      <c r="B176" s="1" t="s">
        <v>28</v>
      </c>
      <c r="C176" s="1" t="s">
        <v>66</v>
      </c>
      <c r="D176" s="1" t="s">
        <v>67</v>
      </c>
      <c r="E176" s="1" t="s">
        <v>571</v>
      </c>
      <c r="F176" s="1" t="s">
        <v>572</v>
      </c>
      <c r="G176" s="1" t="s">
        <v>15</v>
      </c>
      <c r="H176" s="30" t="n">
        <f aca="false">IFERROR(INDEX(Config!$B$3:$B$8,MATCH($G176,Config!$A$3:$A$8,0)),0)</f>
        <v>0</v>
      </c>
      <c r="I176" s="1" t="n">
        <f aca="false">IFERROR(INDEX(Config!$C$3:$C$8,MATCH($G176,Config!$A$3:$A$8,0)),0)</f>
        <v>1</v>
      </c>
    </row>
    <row r="177" customFormat="false" ht="15" hidden="false" customHeight="false" outlineLevel="0" collapsed="false">
      <c r="A177" s="23" t="n">
        <v>173</v>
      </c>
      <c r="B177" s="1" t="s">
        <v>28</v>
      </c>
      <c r="C177" s="1" t="s">
        <v>66</v>
      </c>
      <c r="D177" s="1" t="s">
        <v>67</v>
      </c>
      <c r="E177" s="1" t="s">
        <v>573</v>
      </c>
      <c r="F177" s="1" t="s">
        <v>574</v>
      </c>
      <c r="G177" s="1" t="s">
        <v>15</v>
      </c>
      <c r="H177" s="30" t="n">
        <f aca="false">IFERROR(INDEX(Config!$B$3:$B$8,MATCH($G177,Config!$A$3:$A$8,0)),0)</f>
        <v>0</v>
      </c>
      <c r="I177" s="1" t="n">
        <f aca="false">IFERROR(INDEX(Config!$C$3:$C$8,MATCH($G177,Config!$A$3:$A$8,0)),0)</f>
        <v>1</v>
      </c>
    </row>
  </sheetData>
  <autoFilter ref="A1:J174"/>
  <conditionalFormatting sqref="G2:G169">
    <cfRule type="cellIs" priority="2" operator="equal" aboveAverage="0" equalAverage="0" bottom="0" percent="0" rank="0" text="" dxfId="12">
      <formula>"Terminado"</formula>
    </cfRule>
    <cfRule type="cellIs" priority="3" operator="equal" aboveAverage="0" equalAverage="0" bottom="0" percent="0" rank="0" text="" dxfId="13">
      <formula>"En curso"</formula>
    </cfRule>
    <cfRule type="cellIs" priority="4" operator="equal" aboveAverage="0" equalAverage="0" bottom="0" percent="0" rank="0" text="" dxfId="14">
      <formula>"Pendiente"</formula>
    </cfRule>
    <cfRule type="cellIs" priority="5" operator="equal" aboveAverage="0" equalAverage="0" bottom="0" percent="0" rank="0" text="" dxfId="15">
      <formula>"Bloqueado"</formula>
    </cfRule>
    <cfRule type="cellIs" priority="6" operator="equal" aboveAverage="0" equalAverage="0" bottom="0" percent="0" rank="0" text="" dxfId="16">
      <formula>"Aplazado"</formula>
    </cfRule>
    <cfRule type="cellIs" priority="7" operator="equal" aboveAverage="0" equalAverage="0" bottom="0" percent="0" rank="0" text="" dxfId="17">
      <formula>"No aplica"</formula>
    </cfRule>
  </conditionalFormatting>
  <dataValidations count="1">
    <dataValidation allowBlank="false" errorStyle="stop" operator="between" showDropDown="false" showErrorMessage="false" showInputMessage="false" sqref="G2:G169"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575</v>
      </c>
      <c r="B1" s="31"/>
      <c r="C1" s="31"/>
      <c r="D1" s="31"/>
      <c r="E1" s="31"/>
      <c r="F1" s="31"/>
      <c r="G1" s="31"/>
    </row>
    <row r="2" customFormat="false" ht="24" hidden="false" customHeight="true" outlineLevel="0" collapsed="false">
      <c r="A2" s="32" t="s">
        <v>106</v>
      </c>
      <c r="B2" s="32" t="s">
        <v>10</v>
      </c>
      <c r="C2" s="32" t="s">
        <v>576</v>
      </c>
      <c r="D2" s="32" t="s">
        <v>577</v>
      </c>
      <c r="E2" s="32" t="s">
        <v>578</v>
      </c>
      <c r="F2" s="32" t="s">
        <v>579</v>
      </c>
      <c r="G2" s="32" t="s">
        <v>580</v>
      </c>
    </row>
    <row r="3" customFormat="false" ht="68.25" hidden="false" customHeight="true" outlineLevel="0" collapsed="false">
      <c r="A3" s="33" t="s">
        <v>581</v>
      </c>
      <c r="B3" s="34" t="s">
        <v>582</v>
      </c>
      <c r="C3" s="34" t="s">
        <v>583</v>
      </c>
      <c r="D3" s="16" t="s">
        <v>584</v>
      </c>
      <c r="E3" s="16" t="s">
        <v>585</v>
      </c>
      <c r="F3" s="16" t="s">
        <v>586</v>
      </c>
      <c r="G3" s="16" t="s">
        <v>587</v>
      </c>
    </row>
    <row r="4" customFormat="false" ht="57" hidden="false" customHeight="true" outlineLevel="0" collapsed="false">
      <c r="A4" s="33" t="s">
        <v>588</v>
      </c>
      <c r="B4" s="34" t="s">
        <v>582</v>
      </c>
      <c r="C4" s="34" t="s">
        <v>583</v>
      </c>
      <c r="D4" s="16" t="s">
        <v>589</v>
      </c>
      <c r="E4" s="16" t="s">
        <v>590</v>
      </c>
      <c r="F4" s="16" t="s">
        <v>591</v>
      </c>
      <c r="G4" s="16" t="s">
        <v>592</v>
      </c>
    </row>
    <row r="5" customFormat="false" ht="34.5" hidden="false" customHeight="true" outlineLevel="0" collapsed="false">
      <c r="A5" s="33" t="s">
        <v>593</v>
      </c>
      <c r="B5" s="34" t="s">
        <v>582</v>
      </c>
      <c r="C5" s="34"/>
      <c r="D5" s="16" t="s">
        <v>594</v>
      </c>
      <c r="E5" s="16" t="s">
        <v>595</v>
      </c>
      <c r="F5" s="16" t="s">
        <v>591</v>
      </c>
      <c r="G5" s="16" t="s">
        <v>596</v>
      </c>
    </row>
    <row r="6" customFormat="false" ht="45.75" hidden="false" customHeight="true" outlineLevel="0" collapsed="false">
      <c r="A6" s="33" t="s">
        <v>597</v>
      </c>
      <c r="B6" s="34" t="s">
        <v>582</v>
      </c>
      <c r="C6" s="34"/>
      <c r="D6" s="16" t="s">
        <v>598</v>
      </c>
      <c r="E6" s="16" t="s">
        <v>599</v>
      </c>
      <c r="F6" s="16" t="s">
        <v>591</v>
      </c>
      <c r="G6" s="16" t="s">
        <v>600</v>
      </c>
    </row>
    <row r="7" customFormat="false" ht="45.75" hidden="false" customHeight="true" outlineLevel="0" collapsed="false">
      <c r="A7" s="33" t="s">
        <v>601</v>
      </c>
      <c r="B7" s="34" t="s">
        <v>582</v>
      </c>
      <c r="C7" s="34"/>
      <c r="D7" s="16" t="s">
        <v>602</v>
      </c>
      <c r="E7" s="16" t="s">
        <v>603</v>
      </c>
      <c r="F7" s="16" t="s">
        <v>604</v>
      </c>
      <c r="G7" s="16" t="s">
        <v>605</v>
      </c>
    </row>
    <row r="8" customFormat="false" ht="57" hidden="false" customHeight="true" outlineLevel="0" collapsed="false">
      <c r="A8" s="33" t="s">
        <v>606</v>
      </c>
      <c r="B8" s="34" t="s">
        <v>582</v>
      </c>
      <c r="C8" s="34"/>
      <c r="D8" s="16" t="s">
        <v>607</v>
      </c>
      <c r="E8" s="16" t="s">
        <v>608</v>
      </c>
      <c r="F8" s="16" t="s">
        <v>591</v>
      </c>
      <c r="G8" s="16" t="s">
        <v>609</v>
      </c>
    </row>
    <row r="9" customFormat="false" ht="57" hidden="false" customHeight="true" outlineLevel="0" collapsed="false">
      <c r="A9" s="33" t="s">
        <v>610</v>
      </c>
      <c r="B9" s="34" t="s">
        <v>582</v>
      </c>
      <c r="C9" s="34"/>
      <c r="D9" s="16" t="s">
        <v>611</v>
      </c>
      <c r="E9" s="16" t="s">
        <v>612</v>
      </c>
      <c r="F9" s="16" t="s">
        <v>591</v>
      </c>
      <c r="G9" s="16" t="s">
        <v>613</v>
      </c>
    </row>
    <row r="10" customFormat="false" ht="57" hidden="false" customHeight="true" outlineLevel="0" collapsed="false">
      <c r="A10" s="33" t="s">
        <v>614</v>
      </c>
      <c r="B10" s="34" t="s">
        <v>582</v>
      </c>
      <c r="C10" s="34"/>
      <c r="D10" s="16" t="s">
        <v>615</v>
      </c>
      <c r="E10" s="16" t="s">
        <v>590</v>
      </c>
      <c r="F10" s="16" t="s">
        <v>591</v>
      </c>
      <c r="G10" s="16" t="s">
        <v>616</v>
      </c>
    </row>
    <row r="11" customFormat="false" ht="45.75" hidden="false" customHeight="true" outlineLevel="0" collapsed="false">
      <c r="A11" s="33" t="s">
        <v>617</v>
      </c>
      <c r="B11" s="34" t="s">
        <v>582</v>
      </c>
      <c r="C11" s="34"/>
      <c r="D11" s="16" t="s">
        <v>618</v>
      </c>
      <c r="E11" s="16" t="s">
        <v>619</v>
      </c>
      <c r="F11" s="16" t="s">
        <v>591</v>
      </c>
      <c r="G11" s="16" t="s">
        <v>620</v>
      </c>
    </row>
    <row r="12" customFormat="false" ht="57" hidden="false" customHeight="true" outlineLevel="0" collapsed="false">
      <c r="A12" s="33" t="s">
        <v>621</v>
      </c>
      <c r="B12" s="34" t="s">
        <v>582</v>
      </c>
      <c r="C12" s="34"/>
      <c r="D12" s="16" t="s">
        <v>622</v>
      </c>
      <c r="E12" s="16" t="s">
        <v>623</v>
      </c>
      <c r="F12" s="16" t="s">
        <v>591</v>
      </c>
      <c r="G12" s="16" t="s">
        <v>624</v>
      </c>
    </row>
    <row r="13" customFormat="false" ht="23.25" hidden="false" customHeight="true" outlineLevel="0" collapsed="false">
      <c r="A13" s="33" t="s">
        <v>625</v>
      </c>
      <c r="B13" s="34" t="s">
        <v>582</v>
      </c>
      <c r="C13" s="34"/>
      <c r="D13" s="16" t="s">
        <v>626</v>
      </c>
      <c r="E13" s="16" t="s">
        <v>627</v>
      </c>
      <c r="F13" s="16" t="s">
        <v>591</v>
      </c>
      <c r="G13" s="16" t="s">
        <v>628</v>
      </c>
    </row>
    <row r="14" customFormat="false" ht="45.75" hidden="false" customHeight="true" outlineLevel="0" collapsed="false">
      <c r="A14" s="33" t="s">
        <v>629</v>
      </c>
      <c r="B14" s="34" t="s">
        <v>582</v>
      </c>
      <c r="C14" s="34"/>
      <c r="D14" s="16" t="s">
        <v>630</v>
      </c>
      <c r="E14" s="16" t="s">
        <v>631</v>
      </c>
      <c r="F14" s="16" t="s">
        <v>591</v>
      </c>
      <c r="G14" s="16" t="s">
        <v>632</v>
      </c>
    </row>
    <row r="15" customFormat="false" ht="45.75" hidden="false" customHeight="true" outlineLevel="0" collapsed="false">
      <c r="A15" s="33" t="s">
        <v>633</v>
      </c>
      <c r="B15" s="34" t="s">
        <v>634</v>
      </c>
      <c r="C15" s="34"/>
      <c r="D15" s="16" t="s">
        <v>635</v>
      </c>
      <c r="E15" s="16" t="s">
        <v>636</v>
      </c>
      <c r="F15" s="16" t="s">
        <v>591</v>
      </c>
      <c r="G15" s="16" t="s">
        <v>637</v>
      </c>
    </row>
    <row r="16" customFormat="false" ht="57" hidden="false" customHeight="true" outlineLevel="0" collapsed="false">
      <c r="A16" s="33" t="s">
        <v>638</v>
      </c>
      <c r="B16" s="34" t="s">
        <v>634</v>
      </c>
      <c r="C16" s="34"/>
      <c r="D16" s="16" t="s">
        <v>639</v>
      </c>
      <c r="E16" s="16" t="s">
        <v>640</v>
      </c>
      <c r="F16" s="16" t="s">
        <v>591</v>
      </c>
      <c r="G16" s="16" t="s">
        <v>641</v>
      </c>
    </row>
    <row r="17" customFormat="false" ht="57" hidden="false" customHeight="true" outlineLevel="0" collapsed="false">
      <c r="A17" s="33" t="s">
        <v>642</v>
      </c>
      <c r="B17" s="34" t="s">
        <v>634</v>
      </c>
      <c r="C17" s="34"/>
      <c r="D17" s="16" t="s">
        <v>643</v>
      </c>
      <c r="E17" s="16" t="s">
        <v>636</v>
      </c>
      <c r="F17" s="16" t="s">
        <v>591</v>
      </c>
      <c r="G17" s="16" t="s">
        <v>644</v>
      </c>
    </row>
    <row r="18" customFormat="false" ht="102" hidden="false" customHeight="true" outlineLevel="0" collapsed="false">
      <c r="A18" s="33" t="s">
        <v>645</v>
      </c>
      <c r="B18" s="34" t="s">
        <v>634</v>
      </c>
      <c r="C18" s="34"/>
      <c r="D18" s="16" t="s">
        <v>646</v>
      </c>
      <c r="E18" s="16" t="s">
        <v>636</v>
      </c>
      <c r="F18" s="16" t="s">
        <v>591</v>
      </c>
      <c r="G18" s="16" t="s">
        <v>647</v>
      </c>
    </row>
    <row r="19" customFormat="false" ht="90.75" hidden="false" customHeight="true" outlineLevel="0" collapsed="false">
      <c r="A19" s="33" t="s">
        <v>648</v>
      </c>
      <c r="B19" s="34" t="s">
        <v>634</v>
      </c>
      <c r="C19" s="34"/>
      <c r="D19" s="16" t="s">
        <v>649</v>
      </c>
      <c r="E19" s="16" t="s">
        <v>636</v>
      </c>
      <c r="F19" s="16" t="s">
        <v>591</v>
      </c>
      <c r="G19" s="16" t="s">
        <v>650</v>
      </c>
    </row>
    <row r="20" customFormat="false" ht="57" hidden="false" customHeight="true" outlineLevel="0" collapsed="false">
      <c r="A20" s="33" t="s">
        <v>651</v>
      </c>
      <c r="B20" s="34" t="s">
        <v>634</v>
      </c>
      <c r="C20" s="34"/>
      <c r="D20" s="16" t="s">
        <v>652</v>
      </c>
      <c r="E20" s="16" t="s">
        <v>653</v>
      </c>
      <c r="F20" s="16" t="s">
        <v>591</v>
      </c>
      <c r="G20" s="16" t="s">
        <v>654</v>
      </c>
    </row>
    <row r="21" customFormat="false" ht="45.75" hidden="false" customHeight="true" outlineLevel="0" collapsed="false">
      <c r="A21" s="33" t="s">
        <v>655</v>
      </c>
      <c r="B21" s="34" t="s">
        <v>634</v>
      </c>
      <c r="C21" s="34"/>
      <c r="D21" s="16" t="s">
        <v>656</v>
      </c>
      <c r="E21" s="16" t="s">
        <v>657</v>
      </c>
      <c r="F21" s="16" t="s">
        <v>591</v>
      </c>
      <c r="G21" s="16" t="s">
        <v>658</v>
      </c>
    </row>
    <row r="22" customFormat="false" ht="57" hidden="false" customHeight="true" outlineLevel="0" collapsed="false">
      <c r="A22" s="33" t="s">
        <v>659</v>
      </c>
      <c r="B22" s="34" t="s">
        <v>634</v>
      </c>
      <c r="C22" s="34"/>
      <c r="D22" s="16" t="s">
        <v>660</v>
      </c>
      <c r="E22" s="16" t="s">
        <v>636</v>
      </c>
      <c r="F22" s="16" t="s">
        <v>591</v>
      </c>
      <c r="G22" s="16" t="s">
        <v>661</v>
      </c>
    </row>
    <row r="23" customFormat="false" ht="34.5" hidden="false" customHeight="true" outlineLevel="0" collapsed="false">
      <c r="A23" s="33" t="s">
        <v>662</v>
      </c>
      <c r="B23" s="34" t="s">
        <v>634</v>
      </c>
      <c r="C23" s="34"/>
      <c r="D23" s="16" t="s">
        <v>663</v>
      </c>
      <c r="E23" s="16" t="s">
        <v>664</v>
      </c>
      <c r="F23" s="16" t="s">
        <v>591</v>
      </c>
      <c r="G23" s="16" t="s">
        <v>665</v>
      </c>
    </row>
    <row r="24" customFormat="false" ht="23.25" hidden="false" customHeight="true" outlineLevel="0" collapsed="false">
      <c r="A24" s="33" t="s">
        <v>666</v>
      </c>
      <c r="B24" s="34" t="s">
        <v>634</v>
      </c>
      <c r="C24" s="34"/>
      <c r="D24" s="16" t="s">
        <v>667</v>
      </c>
      <c r="E24" s="16" t="s">
        <v>636</v>
      </c>
      <c r="F24" s="16" t="s">
        <v>591</v>
      </c>
      <c r="G24" s="16" t="s">
        <v>668</v>
      </c>
    </row>
    <row r="25" customFormat="false" ht="90.75" hidden="false" customHeight="true" outlineLevel="0" collapsed="false">
      <c r="A25" s="33" t="s">
        <v>669</v>
      </c>
      <c r="B25" s="34" t="s">
        <v>634</v>
      </c>
      <c r="C25" s="34"/>
      <c r="D25" s="16" t="s">
        <v>670</v>
      </c>
      <c r="E25" s="16" t="s">
        <v>636</v>
      </c>
      <c r="F25" s="16" t="s">
        <v>591</v>
      </c>
      <c r="G25" s="16" t="s">
        <v>671</v>
      </c>
    </row>
    <row r="26" customFormat="false" ht="34.5" hidden="false" customHeight="true" outlineLevel="0" collapsed="false">
      <c r="A26" s="33" t="s">
        <v>672</v>
      </c>
      <c r="B26" s="34" t="s">
        <v>634</v>
      </c>
      <c r="C26" s="34"/>
      <c r="D26" s="16" t="s">
        <v>673</v>
      </c>
      <c r="E26" s="16" t="s">
        <v>636</v>
      </c>
      <c r="F26" s="16" t="s">
        <v>591</v>
      </c>
      <c r="G26" s="16"/>
    </row>
    <row r="27" customFormat="false" ht="45.75" hidden="false" customHeight="true" outlineLevel="0" collapsed="false">
      <c r="A27" s="33" t="s">
        <v>674</v>
      </c>
      <c r="B27" s="34" t="s">
        <v>634</v>
      </c>
      <c r="C27" s="34"/>
      <c r="D27" s="16" t="s">
        <v>675</v>
      </c>
      <c r="E27" s="16" t="s">
        <v>636</v>
      </c>
      <c r="F27" s="16" t="s">
        <v>591</v>
      </c>
      <c r="G27" s="16" t="s">
        <v>676</v>
      </c>
    </row>
    <row r="28" customFormat="false" ht="34.5" hidden="false" customHeight="true" outlineLevel="0" collapsed="false">
      <c r="A28" s="33" t="s">
        <v>677</v>
      </c>
      <c r="B28" s="34" t="s">
        <v>634</v>
      </c>
      <c r="C28" s="34"/>
      <c r="D28" s="16" t="s">
        <v>678</v>
      </c>
      <c r="E28" s="16" t="s">
        <v>636</v>
      </c>
      <c r="F28" s="16" t="s">
        <v>591</v>
      </c>
      <c r="G28" s="16" t="s">
        <v>679</v>
      </c>
    </row>
    <row r="29" customFormat="false" ht="15" hidden="false" customHeight="true" outlineLevel="0" collapsed="false">
      <c r="A29" s="33" t="s">
        <v>680</v>
      </c>
      <c r="B29" s="34" t="s">
        <v>634</v>
      </c>
      <c r="C29" s="34"/>
      <c r="D29" s="16" t="s">
        <v>681</v>
      </c>
      <c r="E29" s="16" t="s">
        <v>636</v>
      </c>
      <c r="F29" s="16" t="s">
        <v>591</v>
      </c>
      <c r="G29" s="16" t="s">
        <v>682</v>
      </c>
    </row>
    <row r="30" customFormat="false" ht="45.75" hidden="false" customHeight="true" outlineLevel="0" collapsed="false">
      <c r="A30" s="33" t="s">
        <v>683</v>
      </c>
      <c r="B30" s="34" t="s">
        <v>634</v>
      </c>
      <c r="C30" s="34"/>
      <c r="D30" s="16" t="s">
        <v>684</v>
      </c>
      <c r="E30" s="16" t="s">
        <v>636</v>
      </c>
      <c r="F30" s="16" t="s">
        <v>591</v>
      </c>
      <c r="G30" s="16" t="s">
        <v>685</v>
      </c>
    </row>
    <row r="31" customFormat="false" ht="57" hidden="false" customHeight="true" outlineLevel="0" collapsed="false">
      <c r="A31" s="33" t="s">
        <v>686</v>
      </c>
      <c r="B31" s="34" t="s">
        <v>634</v>
      </c>
      <c r="C31" s="34"/>
      <c r="D31" s="16" t="s">
        <v>687</v>
      </c>
      <c r="E31" s="16" t="s">
        <v>636</v>
      </c>
      <c r="F31" s="16" t="s">
        <v>591</v>
      </c>
      <c r="G31" s="16" t="s">
        <v>688</v>
      </c>
    </row>
    <row r="32" customFormat="false" ht="102" hidden="false" customHeight="true" outlineLevel="0" collapsed="false">
      <c r="A32" s="33" t="s">
        <v>689</v>
      </c>
      <c r="B32" s="34" t="s">
        <v>634</v>
      </c>
      <c r="C32" s="34"/>
      <c r="D32" s="16" t="s">
        <v>690</v>
      </c>
      <c r="E32" s="16" t="s">
        <v>636</v>
      </c>
      <c r="F32" s="16" t="s">
        <v>591</v>
      </c>
      <c r="G32" s="16" t="s">
        <v>691</v>
      </c>
    </row>
    <row r="33" customFormat="false" ht="57" hidden="false" customHeight="true" outlineLevel="0" collapsed="false">
      <c r="A33" s="33" t="s">
        <v>692</v>
      </c>
      <c r="B33" s="34" t="s">
        <v>634</v>
      </c>
      <c r="C33" s="34"/>
      <c r="D33" s="16" t="s">
        <v>693</v>
      </c>
      <c r="E33" s="16" t="s">
        <v>636</v>
      </c>
      <c r="F33" s="16" t="s">
        <v>591</v>
      </c>
      <c r="G33" s="16" t="s">
        <v>694</v>
      </c>
    </row>
    <row r="34" customFormat="false" ht="45.75" hidden="false" customHeight="true" outlineLevel="0" collapsed="false">
      <c r="A34" s="33" t="s">
        <v>695</v>
      </c>
      <c r="B34" s="34" t="s">
        <v>634</v>
      </c>
      <c r="C34" s="34"/>
      <c r="D34" s="16" t="s">
        <v>696</v>
      </c>
      <c r="E34" s="16" t="s">
        <v>636</v>
      </c>
      <c r="F34" s="16" t="s">
        <v>591</v>
      </c>
      <c r="G34" s="16" t="s">
        <v>697</v>
      </c>
    </row>
    <row r="35" customFormat="false" ht="57" hidden="false" customHeight="true" outlineLevel="0" collapsed="false">
      <c r="A35" s="33" t="s">
        <v>698</v>
      </c>
      <c r="B35" s="34" t="s">
        <v>634</v>
      </c>
      <c r="C35" s="34"/>
      <c r="D35" s="16" t="s">
        <v>699</v>
      </c>
      <c r="E35" s="16" t="s">
        <v>636</v>
      </c>
      <c r="F35" s="16" t="s">
        <v>591</v>
      </c>
      <c r="G35" s="16" t="s">
        <v>700</v>
      </c>
    </row>
    <row r="36" customFormat="false" ht="57" hidden="false" customHeight="true" outlineLevel="0" collapsed="false">
      <c r="A36" s="33" t="s">
        <v>701</v>
      </c>
      <c r="B36" s="34" t="s">
        <v>634</v>
      </c>
      <c r="C36" s="34"/>
      <c r="D36" s="16" t="s">
        <v>702</v>
      </c>
      <c r="E36" s="16" t="s">
        <v>636</v>
      </c>
      <c r="F36" s="16" t="s">
        <v>591</v>
      </c>
      <c r="G36" s="16" t="s">
        <v>703</v>
      </c>
    </row>
    <row r="37" customFormat="false" ht="34.5" hidden="false" customHeight="true" outlineLevel="0" collapsed="false">
      <c r="A37" s="33" t="s">
        <v>704</v>
      </c>
      <c r="B37" s="34" t="s">
        <v>634</v>
      </c>
      <c r="C37" s="34"/>
      <c r="D37" s="16" t="s">
        <v>705</v>
      </c>
      <c r="E37" s="16" t="s">
        <v>636</v>
      </c>
      <c r="F37" s="16" t="s">
        <v>591</v>
      </c>
      <c r="G37" s="16" t="s">
        <v>706</v>
      </c>
    </row>
    <row r="38" customFormat="false" ht="23.25" hidden="false" customHeight="true" outlineLevel="0" collapsed="false">
      <c r="A38" s="33" t="s">
        <v>707</v>
      </c>
      <c r="B38" s="34" t="s">
        <v>634</v>
      </c>
      <c r="C38" s="34"/>
      <c r="D38" s="16" t="s">
        <v>708</v>
      </c>
      <c r="E38" s="16" t="s">
        <v>636</v>
      </c>
      <c r="F38" s="16" t="s">
        <v>591</v>
      </c>
      <c r="G38" s="16" t="s">
        <v>709</v>
      </c>
    </row>
    <row r="39" customFormat="false" ht="15" hidden="false" customHeight="true" outlineLevel="0" collapsed="false">
      <c r="A39" s="33" t="s">
        <v>710</v>
      </c>
      <c r="B39" s="34" t="s">
        <v>634</v>
      </c>
      <c r="C39" s="34"/>
      <c r="D39" s="16" t="s">
        <v>711</v>
      </c>
      <c r="E39" s="16" t="s">
        <v>636</v>
      </c>
      <c r="F39" s="16" t="s">
        <v>591</v>
      </c>
      <c r="G39" s="16" t="s">
        <v>712</v>
      </c>
    </row>
    <row r="40" customFormat="false" ht="57" hidden="false" customHeight="true" outlineLevel="0" collapsed="false">
      <c r="A40" s="33" t="s">
        <v>713</v>
      </c>
      <c r="B40" s="34" t="s">
        <v>634</v>
      </c>
      <c r="C40" s="34"/>
      <c r="D40" s="16" t="s">
        <v>714</v>
      </c>
      <c r="E40" s="16" t="s">
        <v>636</v>
      </c>
      <c r="F40" s="16" t="s">
        <v>591</v>
      </c>
      <c r="G40" s="16" t="s">
        <v>715</v>
      </c>
    </row>
    <row r="41" customFormat="false" ht="57" hidden="false" customHeight="true" outlineLevel="0" collapsed="false">
      <c r="A41" s="33" t="s">
        <v>716</v>
      </c>
      <c r="B41" s="34" t="s">
        <v>634</v>
      </c>
      <c r="C41" s="34"/>
      <c r="D41" s="16" t="s">
        <v>717</v>
      </c>
      <c r="E41" s="16" t="s">
        <v>636</v>
      </c>
      <c r="F41" s="16" t="s">
        <v>591</v>
      </c>
      <c r="G41" s="16" t="s">
        <v>718</v>
      </c>
    </row>
    <row r="42" customFormat="false" ht="57" hidden="false" customHeight="true" outlineLevel="0" collapsed="false">
      <c r="A42" s="33" t="s">
        <v>719</v>
      </c>
      <c r="B42" s="34" t="s">
        <v>634</v>
      </c>
      <c r="C42" s="34"/>
      <c r="D42" s="16" t="s">
        <v>720</v>
      </c>
      <c r="E42" s="16" t="s">
        <v>636</v>
      </c>
      <c r="F42" s="16" t="s">
        <v>591</v>
      </c>
      <c r="G42" s="16" t="s">
        <v>721</v>
      </c>
    </row>
    <row r="43" customFormat="false" ht="45.75" hidden="false" customHeight="true" outlineLevel="0" collapsed="false">
      <c r="A43" s="33" t="s">
        <v>722</v>
      </c>
      <c r="B43" s="34" t="s">
        <v>634</v>
      </c>
      <c r="C43" s="34"/>
      <c r="D43" s="16" t="s">
        <v>723</v>
      </c>
      <c r="E43" s="16" t="s">
        <v>636</v>
      </c>
      <c r="F43" s="16" t="s">
        <v>591</v>
      </c>
      <c r="G43" s="16" t="s">
        <v>724</v>
      </c>
    </row>
    <row r="44" customFormat="false" ht="68.25" hidden="false" customHeight="true" outlineLevel="0" collapsed="false">
      <c r="A44" s="33" t="s">
        <v>725</v>
      </c>
      <c r="B44" s="34" t="s">
        <v>634</v>
      </c>
      <c r="C44" s="34"/>
      <c r="D44" s="16" t="s">
        <v>726</v>
      </c>
      <c r="E44" s="16" t="s">
        <v>318</v>
      </c>
      <c r="F44" s="16" t="s">
        <v>591</v>
      </c>
      <c r="G44" s="16" t="s">
        <v>727</v>
      </c>
    </row>
    <row r="45" customFormat="false" ht="68.25" hidden="false" customHeight="true" outlineLevel="0" collapsed="false">
      <c r="A45" s="33" t="s">
        <v>728</v>
      </c>
      <c r="B45" s="34" t="s">
        <v>634</v>
      </c>
      <c r="C45" s="34"/>
      <c r="D45" s="16" t="s">
        <v>729</v>
      </c>
      <c r="E45" s="16" t="s">
        <v>318</v>
      </c>
      <c r="F45" s="16" t="s">
        <v>591</v>
      </c>
      <c r="G45" s="16" t="s">
        <v>730</v>
      </c>
    </row>
    <row r="46" customFormat="false" ht="34.5" hidden="false" customHeight="true" outlineLevel="0" collapsed="false">
      <c r="A46" s="33" t="s">
        <v>731</v>
      </c>
      <c r="B46" s="34" t="s">
        <v>634</v>
      </c>
      <c r="C46" s="34"/>
      <c r="D46" s="16" t="s">
        <v>732</v>
      </c>
      <c r="E46" s="16" t="s">
        <v>324</v>
      </c>
      <c r="F46" s="16" t="s">
        <v>591</v>
      </c>
      <c r="G46" s="16" t="s">
        <v>733</v>
      </c>
    </row>
    <row r="47" customFormat="false" ht="57" hidden="false" customHeight="true" outlineLevel="0" collapsed="false">
      <c r="A47" s="33" t="s">
        <v>734</v>
      </c>
      <c r="B47" s="34" t="s">
        <v>634</v>
      </c>
      <c r="C47" s="34"/>
      <c r="D47" s="16" t="s">
        <v>735</v>
      </c>
      <c r="E47" s="16" t="s">
        <v>324</v>
      </c>
      <c r="F47" s="16" t="s">
        <v>591</v>
      </c>
      <c r="G47" s="16" t="s">
        <v>736</v>
      </c>
    </row>
    <row r="48" customFormat="false" ht="79.5" hidden="false" customHeight="true" outlineLevel="0" collapsed="false">
      <c r="A48" s="33" t="s">
        <v>737</v>
      </c>
      <c r="B48" s="34" t="s">
        <v>634</v>
      </c>
      <c r="C48" s="34"/>
      <c r="D48" s="16" t="s">
        <v>738</v>
      </c>
      <c r="E48" s="16" t="s">
        <v>321</v>
      </c>
      <c r="F48" s="16" t="s">
        <v>591</v>
      </c>
      <c r="G48" s="16" t="s">
        <v>739</v>
      </c>
    </row>
    <row r="49" customFormat="false" ht="57" hidden="false" customHeight="true" outlineLevel="0" collapsed="false">
      <c r="A49" s="33" t="s">
        <v>740</v>
      </c>
      <c r="B49" s="34" t="s">
        <v>634</v>
      </c>
      <c r="C49" s="34"/>
      <c r="D49" s="16" t="s">
        <v>741</v>
      </c>
      <c r="E49" s="16" t="s">
        <v>321</v>
      </c>
      <c r="F49" s="16" t="s">
        <v>591</v>
      </c>
      <c r="G49" s="16" t="s">
        <v>742</v>
      </c>
    </row>
    <row r="50" customFormat="false" ht="45.75" hidden="false" customHeight="true" outlineLevel="0" collapsed="false">
      <c r="A50" s="33" t="s">
        <v>743</v>
      </c>
      <c r="B50" s="34" t="s">
        <v>634</v>
      </c>
      <c r="C50" s="34"/>
      <c r="D50" s="16" t="s">
        <v>744</v>
      </c>
      <c r="E50" s="16" t="s">
        <v>333</v>
      </c>
      <c r="F50" s="16" t="s">
        <v>591</v>
      </c>
      <c r="G50" s="16" t="s">
        <v>745</v>
      </c>
    </row>
    <row r="51" customFormat="false" ht="68.25" hidden="false" customHeight="true" outlineLevel="0" collapsed="false">
      <c r="A51" s="33" t="s">
        <v>746</v>
      </c>
      <c r="B51" s="34" t="s">
        <v>634</v>
      </c>
      <c r="C51" s="34"/>
      <c r="D51" s="16" t="s">
        <v>747</v>
      </c>
      <c r="E51" s="16" t="s">
        <v>336</v>
      </c>
      <c r="F51" s="16" t="s">
        <v>591</v>
      </c>
      <c r="G51" s="16" t="s">
        <v>748</v>
      </c>
    </row>
    <row r="52" customFormat="false" ht="57" hidden="false" customHeight="true" outlineLevel="0" collapsed="false">
      <c r="A52" s="33" t="s">
        <v>749</v>
      </c>
      <c r="B52" s="34" t="s">
        <v>634</v>
      </c>
      <c r="C52" s="34"/>
      <c r="D52" s="16" t="s">
        <v>750</v>
      </c>
      <c r="E52" s="16" t="s">
        <v>339</v>
      </c>
      <c r="F52" s="16" t="s">
        <v>591</v>
      </c>
      <c r="G52" s="16" t="s">
        <v>751</v>
      </c>
    </row>
    <row r="53" customFormat="false" ht="90.75" hidden="false" customHeight="true" outlineLevel="0" collapsed="false">
      <c r="A53" s="33" t="s">
        <v>752</v>
      </c>
      <c r="B53" s="34" t="s">
        <v>634</v>
      </c>
      <c r="C53" s="34"/>
      <c r="D53" s="16" t="s">
        <v>753</v>
      </c>
      <c r="E53" s="16" t="s">
        <v>339</v>
      </c>
      <c r="F53" s="16" t="s">
        <v>591</v>
      </c>
      <c r="G53" s="16" t="s">
        <v>754</v>
      </c>
    </row>
    <row r="54" customFormat="false" ht="57" hidden="false" customHeight="true" outlineLevel="0" collapsed="false">
      <c r="A54" s="33" t="s">
        <v>755</v>
      </c>
      <c r="B54" s="34" t="s">
        <v>634</v>
      </c>
      <c r="C54" s="34"/>
      <c r="D54" s="16" t="s">
        <v>756</v>
      </c>
      <c r="E54" s="16" t="s">
        <v>327</v>
      </c>
      <c r="F54" s="16" t="s">
        <v>757</v>
      </c>
      <c r="G54" s="16" t="s">
        <v>758</v>
      </c>
    </row>
    <row r="55" customFormat="false" ht="45.75" hidden="false" customHeight="true" outlineLevel="0" collapsed="false">
      <c r="A55" s="33" t="s">
        <v>759</v>
      </c>
      <c r="B55" s="34" t="s">
        <v>634</v>
      </c>
      <c r="C55" s="34"/>
      <c r="D55" s="16" t="s">
        <v>760</v>
      </c>
      <c r="E55" s="16" t="s">
        <v>327</v>
      </c>
      <c r="F55" s="16" t="s">
        <v>757</v>
      </c>
      <c r="G55" s="16" t="s">
        <v>761</v>
      </c>
    </row>
    <row r="56" customFormat="false" ht="57" hidden="false" customHeight="true" outlineLevel="0" collapsed="false">
      <c r="A56" s="33" t="s">
        <v>762</v>
      </c>
      <c r="B56" s="34" t="s">
        <v>634</v>
      </c>
      <c r="C56" s="34"/>
      <c r="D56" s="16" t="s">
        <v>763</v>
      </c>
      <c r="E56" s="16" t="s">
        <v>348</v>
      </c>
      <c r="F56" s="16" t="s">
        <v>591</v>
      </c>
      <c r="G56" s="16" t="s">
        <v>764</v>
      </c>
    </row>
    <row r="57" customFormat="false" ht="57" hidden="false" customHeight="true" outlineLevel="0" collapsed="false">
      <c r="A57" s="33" t="s">
        <v>765</v>
      </c>
      <c r="B57" s="34" t="s">
        <v>634</v>
      </c>
      <c r="C57" s="34"/>
      <c r="D57" s="16" t="s">
        <v>766</v>
      </c>
      <c r="E57" s="16" t="s">
        <v>348</v>
      </c>
      <c r="F57" s="16" t="s">
        <v>591</v>
      </c>
      <c r="G57" s="16" t="s">
        <v>767</v>
      </c>
    </row>
    <row r="58" customFormat="false" ht="45.75" hidden="false" customHeight="true" outlineLevel="0" collapsed="false">
      <c r="A58" s="33" t="s">
        <v>768</v>
      </c>
      <c r="B58" s="34" t="s">
        <v>634</v>
      </c>
      <c r="C58" s="34"/>
      <c r="D58" s="16" t="s">
        <v>769</v>
      </c>
      <c r="E58" s="16" t="s">
        <v>348</v>
      </c>
      <c r="F58" s="16" t="s">
        <v>757</v>
      </c>
      <c r="G58" s="16" t="s">
        <v>770</v>
      </c>
    </row>
    <row r="59" customFormat="false" ht="68.25" hidden="false" customHeight="true" outlineLevel="0" collapsed="false">
      <c r="A59" s="33" t="s">
        <v>771</v>
      </c>
      <c r="B59" s="34" t="s">
        <v>634</v>
      </c>
      <c r="C59" s="34"/>
      <c r="D59" s="16" t="s">
        <v>772</v>
      </c>
      <c r="E59" s="16" t="s">
        <v>350</v>
      </c>
      <c r="F59" s="16" t="s">
        <v>591</v>
      </c>
      <c r="G59" s="16" t="s">
        <v>773</v>
      </c>
    </row>
    <row r="60" customFormat="false" ht="68.25" hidden="false" customHeight="true" outlineLevel="0" collapsed="false">
      <c r="A60" s="33" t="s">
        <v>774</v>
      </c>
      <c r="B60" s="34" t="s">
        <v>634</v>
      </c>
      <c r="C60" s="34"/>
      <c r="D60" s="16" t="s">
        <v>775</v>
      </c>
      <c r="E60" s="16" t="s">
        <v>353</v>
      </c>
      <c r="F60" s="16" t="s">
        <v>591</v>
      </c>
      <c r="G60" s="16" t="s">
        <v>776</v>
      </c>
    </row>
    <row r="61" customFormat="false" ht="68.25" hidden="false" customHeight="true" outlineLevel="0" collapsed="false">
      <c r="A61" s="33" t="s">
        <v>777</v>
      </c>
      <c r="B61" s="34" t="s">
        <v>634</v>
      </c>
      <c r="C61" s="34"/>
      <c r="D61" s="16" t="s">
        <v>778</v>
      </c>
      <c r="E61" s="16" t="s">
        <v>356</v>
      </c>
      <c r="F61" s="16" t="s">
        <v>757</v>
      </c>
      <c r="G61" s="16" t="s">
        <v>779</v>
      </c>
    </row>
    <row r="62" customFormat="false" ht="68.25" hidden="false" customHeight="true" outlineLevel="0" collapsed="false">
      <c r="A62" s="33" t="s">
        <v>780</v>
      </c>
      <c r="B62" s="34" t="s">
        <v>634</v>
      </c>
      <c r="C62" s="34"/>
      <c r="D62" s="16" t="s">
        <v>781</v>
      </c>
      <c r="E62" s="16" t="s">
        <v>359</v>
      </c>
      <c r="F62" s="16" t="s">
        <v>591</v>
      </c>
      <c r="G62" s="16" t="s">
        <v>782</v>
      </c>
    </row>
    <row r="63" customFormat="false" ht="68.25" hidden="false" customHeight="true" outlineLevel="0" collapsed="false">
      <c r="A63" s="33" t="s">
        <v>783</v>
      </c>
      <c r="B63" s="34" t="s">
        <v>634</v>
      </c>
      <c r="C63" s="34"/>
      <c r="D63" s="16" t="s">
        <v>784</v>
      </c>
      <c r="E63" s="16" t="s">
        <v>362</v>
      </c>
      <c r="F63" s="16" t="s">
        <v>591</v>
      </c>
      <c r="G63" s="16" t="s">
        <v>785</v>
      </c>
    </row>
    <row r="64" customFormat="false" ht="68.25" hidden="false" customHeight="true" outlineLevel="0" collapsed="false">
      <c r="A64" s="33" t="s">
        <v>786</v>
      </c>
      <c r="B64" s="34" t="s">
        <v>634</v>
      </c>
      <c r="C64" s="34"/>
      <c r="D64" s="16" t="s">
        <v>787</v>
      </c>
      <c r="E64" s="16" t="s">
        <v>386</v>
      </c>
      <c r="F64" s="16" t="s">
        <v>591</v>
      </c>
      <c r="G64" s="16" t="s">
        <v>788</v>
      </c>
    </row>
    <row r="65" customFormat="false" ht="34.5" hidden="false" customHeight="true" outlineLevel="0" collapsed="false">
      <c r="A65" s="33" t="s">
        <v>789</v>
      </c>
      <c r="B65" s="34" t="s">
        <v>634</v>
      </c>
      <c r="C65" s="34"/>
      <c r="D65" s="16" t="s">
        <v>790</v>
      </c>
      <c r="E65" s="16" t="s">
        <v>432</v>
      </c>
      <c r="F65" s="16" t="s">
        <v>591</v>
      </c>
      <c r="G65" s="16" t="s">
        <v>791</v>
      </c>
    </row>
    <row r="66" customFormat="false" ht="45.75" hidden="false" customHeight="true" outlineLevel="0" collapsed="false">
      <c r="A66" s="33" t="s">
        <v>792</v>
      </c>
      <c r="B66" s="34" t="s">
        <v>634</v>
      </c>
      <c r="C66" s="34"/>
      <c r="D66" s="16" t="s">
        <v>793</v>
      </c>
      <c r="E66" s="16" t="s">
        <v>404</v>
      </c>
      <c r="F66" s="16" t="s">
        <v>591</v>
      </c>
      <c r="G66" s="16" t="s">
        <v>794</v>
      </c>
    </row>
    <row r="67" customFormat="false" ht="57.45" hidden="false" customHeight="false" outlineLevel="0" collapsed="false">
      <c r="A67" s="33" t="s">
        <v>795</v>
      </c>
      <c r="B67" s="34" t="s">
        <v>634</v>
      </c>
      <c r="C67" s="34"/>
      <c r="D67" s="16" t="s">
        <v>796</v>
      </c>
      <c r="E67" s="16" t="s">
        <v>422</v>
      </c>
      <c r="F67" s="16" t="s">
        <v>591</v>
      </c>
      <c r="G67" s="16" t="s">
        <v>797</v>
      </c>
    </row>
  </sheetData>
  <autoFilter ref="A2:G65"/>
  <mergeCells count="1">
    <mergeCell ref="A1:G1"/>
  </mergeCells>
  <conditionalFormatting sqref="B3:B65">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5">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798</v>
      </c>
      <c r="B1" s="31"/>
      <c r="C1" s="31"/>
      <c r="D1" s="31"/>
      <c r="E1" s="31"/>
      <c r="F1" s="31"/>
      <c r="G1" s="31"/>
    </row>
    <row r="2" customFormat="false" ht="24" hidden="false" customHeight="true" outlineLevel="0" collapsed="false">
      <c r="A2" s="32" t="s">
        <v>106</v>
      </c>
      <c r="B2" s="32" t="s">
        <v>10</v>
      </c>
      <c r="C2" s="32" t="s">
        <v>576</v>
      </c>
      <c r="D2" s="32" t="s">
        <v>799</v>
      </c>
      <c r="E2" s="32" t="s">
        <v>578</v>
      </c>
      <c r="F2" s="32" t="s">
        <v>579</v>
      </c>
      <c r="G2" s="32" t="s">
        <v>580</v>
      </c>
    </row>
    <row r="3" customFormat="false" ht="34.5" hidden="false" customHeight="true" outlineLevel="0" collapsed="false">
      <c r="A3" s="33" t="s">
        <v>800</v>
      </c>
      <c r="B3" s="34" t="s">
        <v>582</v>
      </c>
      <c r="C3" s="34"/>
      <c r="D3" s="16" t="s">
        <v>801</v>
      </c>
      <c r="E3" s="16" t="s">
        <v>802</v>
      </c>
      <c r="F3" s="16" t="s">
        <v>803</v>
      </c>
      <c r="G3" s="16" t="s">
        <v>804</v>
      </c>
    </row>
    <row r="4" customFormat="false" ht="45.75" hidden="false" customHeight="true" outlineLevel="0" collapsed="false">
      <c r="A4" s="33" t="s">
        <v>805</v>
      </c>
      <c r="B4" s="34" t="s">
        <v>582</v>
      </c>
      <c r="C4" s="34"/>
      <c r="D4" s="16" t="s">
        <v>806</v>
      </c>
      <c r="E4" s="16" t="s">
        <v>807</v>
      </c>
      <c r="F4" s="16" t="s">
        <v>803</v>
      </c>
      <c r="G4" s="16" t="s">
        <v>808</v>
      </c>
    </row>
    <row r="5" customFormat="false" ht="45.75" hidden="false" customHeight="true" outlineLevel="0" collapsed="false">
      <c r="A5" s="33" t="s">
        <v>809</v>
      </c>
      <c r="B5" s="34" t="s">
        <v>582</v>
      </c>
      <c r="C5" s="34"/>
      <c r="D5" s="16" t="s">
        <v>810</v>
      </c>
      <c r="E5" s="16" t="s">
        <v>811</v>
      </c>
      <c r="F5" s="16" t="s">
        <v>803</v>
      </c>
      <c r="G5" s="16" t="s">
        <v>812</v>
      </c>
    </row>
    <row r="6" customFormat="false" ht="45.75" hidden="false" customHeight="true" outlineLevel="0" collapsed="false">
      <c r="A6" s="33" t="s">
        <v>813</v>
      </c>
      <c r="B6" s="34" t="s">
        <v>582</v>
      </c>
      <c r="C6" s="34"/>
      <c r="D6" s="16" t="s">
        <v>814</v>
      </c>
      <c r="E6" s="16" t="s">
        <v>815</v>
      </c>
      <c r="F6" s="16" t="s">
        <v>803</v>
      </c>
      <c r="G6" s="16" t="s">
        <v>816</v>
      </c>
    </row>
    <row r="7" customFormat="false" ht="45.75" hidden="false" customHeight="true" outlineLevel="0" collapsed="false">
      <c r="A7" s="33" t="s">
        <v>817</v>
      </c>
      <c r="B7" s="34" t="s">
        <v>582</v>
      </c>
      <c r="C7" s="34"/>
      <c r="D7" s="16" t="s">
        <v>818</v>
      </c>
      <c r="E7" s="16" t="s">
        <v>819</v>
      </c>
      <c r="F7" s="16" t="s">
        <v>803</v>
      </c>
      <c r="G7" s="16" t="s">
        <v>820</v>
      </c>
    </row>
    <row r="8" customFormat="false" ht="45.75" hidden="false" customHeight="true" outlineLevel="0" collapsed="false">
      <c r="A8" s="33" t="s">
        <v>821</v>
      </c>
      <c r="B8" s="34" t="s">
        <v>582</v>
      </c>
      <c r="C8" s="34"/>
      <c r="D8" s="16" t="s">
        <v>822</v>
      </c>
      <c r="E8" s="16" t="s">
        <v>823</v>
      </c>
      <c r="F8" s="16" t="s">
        <v>803</v>
      </c>
      <c r="G8" s="16" t="s">
        <v>824</v>
      </c>
    </row>
    <row r="9" customFormat="false" ht="68.25" hidden="false" customHeight="true" outlineLevel="0" collapsed="false">
      <c r="A9" s="33" t="s">
        <v>825</v>
      </c>
      <c r="B9" s="34" t="s">
        <v>582</v>
      </c>
      <c r="C9" s="34"/>
      <c r="D9" s="16" t="s">
        <v>826</v>
      </c>
      <c r="E9" s="16" t="s">
        <v>318</v>
      </c>
      <c r="F9" s="16" t="s">
        <v>803</v>
      </c>
      <c r="G9" s="16" t="s">
        <v>827</v>
      </c>
    </row>
    <row r="10" customFormat="false" ht="45.75" hidden="false" customHeight="true" outlineLevel="0" collapsed="false">
      <c r="A10" s="33" t="s">
        <v>828</v>
      </c>
      <c r="B10" s="34" t="s">
        <v>582</v>
      </c>
      <c r="C10" s="34"/>
      <c r="D10" s="16" t="s">
        <v>829</v>
      </c>
      <c r="E10" s="16" t="s">
        <v>324</v>
      </c>
      <c r="F10" s="16" t="s">
        <v>803</v>
      </c>
      <c r="G10" s="16" t="s">
        <v>830</v>
      </c>
    </row>
    <row r="11" customFormat="false" ht="34.5" hidden="false" customHeight="true" outlineLevel="0" collapsed="false">
      <c r="A11" s="33" t="s">
        <v>831</v>
      </c>
      <c r="B11" s="34" t="s">
        <v>582</v>
      </c>
      <c r="C11" s="34"/>
      <c r="D11" s="16" t="s">
        <v>832</v>
      </c>
      <c r="E11" s="16" t="s">
        <v>321</v>
      </c>
      <c r="F11" s="16" t="s">
        <v>803</v>
      </c>
      <c r="G11" s="16" t="s">
        <v>833</v>
      </c>
    </row>
    <row r="12" customFormat="false" ht="34.5" hidden="false" customHeight="true" outlineLevel="0" collapsed="false">
      <c r="A12" s="33" t="s">
        <v>834</v>
      </c>
      <c r="B12" s="34" t="s">
        <v>582</v>
      </c>
      <c r="C12" s="34"/>
      <c r="D12" s="16" t="s">
        <v>835</v>
      </c>
      <c r="E12" s="16" t="s">
        <v>836</v>
      </c>
      <c r="F12" s="16" t="s">
        <v>803</v>
      </c>
      <c r="G12" s="16" t="s">
        <v>837</v>
      </c>
    </row>
    <row r="13" customFormat="false" ht="34.5" hidden="false" customHeight="true" outlineLevel="0" collapsed="false">
      <c r="A13" s="33" t="s">
        <v>838</v>
      </c>
      <c r="B13" s="34" t="s">
        <v>582</v>
      </c>
      <c r="C13" s="34"/>
      <c r="D13" s="16" t="s">
        <v>839</v>
      </c>
      <c r="E13" s="16" t="s">
        <v>840</v>
      </c>
      <c r="F13" s="16" t="s">
        <v>757</v>
      </c>
      <c r="G13" s="16" t="s">
        <v>841</v>
      </c>
    </row>
    <row r="14" customFormat="false" ht="34.5" hidden="false" customHeight="true" outlineLevel="0" collapsed="false">
      <c r="A14" s="33" t="s">
        <v>842</v>
      </c>
      <c r="B14" s="34" t="s">
        <v>582</v>
      </c>
      <c r="C14" s="34"/>
      <c r="D14" s="16" t="s">
        <v>843</v>
      </c>
      <c r="E14" s="16" t="s">
        <v>840</v>
      </c>
      <c r="F14" s="16" t="s">
        <v>803</v>
      </c>
      <c r="G14" s="16" t="s">
        <v>844</v>
      </c>
    </row>
    <row r="15" customFormat="false" ht="57" hidden="false" customHeight="true" outlineLevel="0" collapsed="false">
      <c r="A15" s="33" t="s">
        <v>845</v>
      </c>
      <c r="B15" s="34" t="s">
        <v>582</v>
      </c>
      <c r="C15" s="34"/>
      <c r="D15" s="16" t="s">
        <v>846</v>
      </c>
      <c r="E15" s="16" t="s">
        <v>847</v>
      </c>
      <c r="F15" s="16" t="s">
        <v>757</v>
      </c>
      <c r="G15" s="16" t="s">
        <v>848</v>
      </c>
    </row>
    <row r="16" customFormat="false" ht="34.5" hidden="false" customHeight="true" outlineLevel="0" collapsed="false">
      <c r="A16" s="33" t="s">
        <v>849</v>
      </c>
      <c r="B16" s="34" t="s">
        <v>582</v>
      </c>
      <c r="C16" s="34"/>
      <c r="D16" s="16" t="s">
        <v>850</v>
      </c>
      <c r="E16" s="16" t="s">
        <v>851</v>
      </c>
      <c r="F16" s="16" t="s">
        <v>757</v>
      </c>
      <c r="G16" s="16" t="s">
        <v>852</v>
      </c>
    </row>
    <row r="17" customFormat="false" ht="34.5" hidden="false" customHeight="true" outlineLevel="0" collapsed="false">
      <c r="A17" s="33" t="s">
        <v>853</v>
      </c>
      <c r="B17" s="34" t="s">
        <v>634</v>
      </c>
      <c r="C17" s="34"/>
      <c r="D17" s="16" t="s">
        <v>854</v>
      </c>
      <c r="E17" s="16" t="s">
        <v>855</v>
      </c>
      <c r="F17" s="16" t="s">
        <v>803</v>
      </c>
      <c r="G17" s="16" t="s">
        <v>856</v>
      </c>
    </row>
    <row r="18" customFormat="false" ht="23.25" hidden="false" customHeight="true" outlineLevel="0" collapsed="false">
      <c r="A18" s="33" t="s">
        <v>857</v>
      </c>
      <c r="B18" s="34" t="s">
        <v>634</v>
      </c>
      <c r="C18" s="34"/>
      <c r="D18" s="16" t="s">
        <v>854</v>
      </c>
      <c r="E18" s="16" t="s">
        <v>855</v>
      </c>
      <c r="F18" s="16" t="s">
        <v>803</v>
      </c>
      <c r="G18" s="16" t="s">
        <v>858</v>
      </c>
    </row>
    <row r="19" customFormat="false" ht="57" hidden="false" customHeight="true" outlineLevel="0" collapsed="false">
      <c r="A19" s="33" t="s">
        <v>859</v>
      </c>
      <c r="B19" s="34" t="s">
        <v>634</v>
      </c>
      <c r="C19" s="34"/>
      <c r="D19" s="16" t="s">
        <v>854</v>
      </c>
      <c r="E19" s="16" t="s">
        <v>855</v>
      </c>
      <c r="F19" s="16" t="s">
        <v>757</v>
      </c>
      <c r="G19" s="16" t="s">
        <v>860</v>
      </c>
    </row>
    <row r="20" customFormat="false" ht="23.25" hidden="false" customHeight="true" outlineLevel="0" collapsed="false">
      <c r="A20" s="33" t="s">
        <v>861</v>
      </c>
      <c r="B20" s="34" t="s">
        <v>634</v>
      </c>
      <c r="C20" s="34"/>
      <c r="D20" s="16" t="s">
        <v>854</v>
      </c>
      <c r="E20" s="16" t="s">
        <v>855</v>
      </c>
      <c r="F20" s="16" t="s">
        <v>803</v>
      </c>
      <c r="G20" s="16" t="s">
        <v>862</v>
      </c>
    </row>
    <row r="21" customFormat="false" ht="15" hidden="false" customHeight="true" outlineLevel="0" collapsed="false">
      <c r="A21" s="33" t="s">
        <v>863</v>
      </c>
      <c r="B21" s="34" t="s">
        <v>634</v>
      </c>
      <c r="C21" s="34"/>
      <c r="D21" s="16" t="s">
        <v>864</v>
      </c>
      <c r="E21" s="16" t="s">
        <v>636</v>
      </c>
      <c r="F21" s="16" t="s">
        <v>803</v>
      </c>
      <c r="G21" s="16" t="s">
        <v>865</v>
      </c>
    </row>
    <row r="22" customFormat="false" ht="15" hidden="false" customHeight="true" outlineLevel="0" collapsed="false">
      <c r="A22" s="33" t="s">
        <v>866</v>
      </c>
      <c r="B22" s="34" t="s">
        <v>634</v>
      </c>
      <c r="C22" s="34"/>
      <c r="D22" s="16" t="s">
        <v>867</v>
      </c>
      <c r="E22" s="16" t="s">
        <v>636</v>
      </c>
      <c r="F22" s="16" t="s">
        <v>803</v>
      </c>
      <c r="G22" s="16" t="s">
        <v>868</v>
      </c>
    </row>
    <row r="23" customFormat="false" ht="15" hidden="false" customHeight="true" outlineLevel="0" collapsed="false">
      <c r="A23" s="33" t="s">
        <v>869</v>
      </c>
      <c r="B23" s="34" t="s">
        <v>634</v>
      </c>
      <c r="C23" s="34"/>
      <c r="D23" s="16" t="s">
        <v>870</v>
      </c>
      <c r="E23" s="16" t="s">
        <v>636</v>
      </c>
      <c r="F23" s="16" t="s">
        <v>803</v>
      </c>
      <c r="G23" s="16" t="s">
        <v>871</v>
      </c>
    </row>
    <row r="24" customFormat="false" ht="15" hidden="false" customHeight="true" outlineLevel="0" collapsed="false">
      <c r="A24" s="33" t="s">
        <v>872</v>
      </c>
      <c r="B24" s="34" t="s">
        <v>634</v>
      </c>
      <c r="C24" s="34"/>
      <c r="D24" s="16" t="s">
        <v>873</v>
      </c>
      <c r="E24" s="16" t="s">
        <v>636</v>
      </c>
      <c r="F24" s="16" t="s">
        <v>803</v>
      </c>
      <c r="G24" s="16" t="s">
        <v>874</v>
      </c>
    </row>
    <row r="25" customFormat="false" ht="15" hidden="false" customHeight="true" outlineLevel="0" collapsed="false">
      <c r="A25" s="33" t="s">
        <v>875</v>
      </c>
      <c r="B25" s="34" t="s">
        <v>634</v>
      </c>
      <c r="C25" s="34"/>
      <c r="D25" s="16" t="s">
        <v>876</v>
      </c>
      <c r="E25" s="16" t="s">
        <v>636</v>
      </c>
      <c r="F25" s="16" t="s">
        <v>803</v>
      </c>
      <c r="G25" s="16" t="s">
        <v>877</v>
      </c>
    </row>
    <row r="26" customFormat="false" ht="23.25" hidden="false" customHeight="true" outlineLevel="0" collapsed="false">
      <c r="A26" s="33" t="s">
        <v>878</v>
      </c>
      <c r="B26" s="34" t="s">
        <v>634</v>
      </c>
      <c r="C26" s="34"/>
      <c r="D26" s="16" t="s">
        <v>854</v>
      </c>
      <c r="E26" s="16" t="s">
        <v>855</v>
      </c>
      <c r="F26" s="16" t="s">
        <v>803</v>
      </c>
      <c r="G26" s="16" t="s">
        <v>879</v>
      </c>
    </row>
    <row r="27" customFormat="false" ht="15" hidden="false" customHeight="true" outlineLevel="0" collapsed="false">
      <c r="A27" s="33" t="s">
        <v>880</v>
      </c>
      <c r="B27" s="34" t="s">
        <v>634</v>
      </c>
      <c r="C27" s="34"/>
      <c r="D27" s="16" t="s">
        <v>881</v>
      </c>
      <c r="E27" s="16" t="s">
        <v>636</v>
      </c>
      <c r="F27" s="16" t="s">
        <v>803</v>
      </c>
      <c r="G27" s="16" t="s">
        <v>882</v>
      </c>
    </row>
    <row r="28" customFormat="false" ht="34.5" hidden="false" customHeight="true" outlineLevel="0" collapsed="false">
      <c r="A28" s="33" t="s">
        <v>883</v>
      </c>
      <c r="B28" s="34" t="s">
        <v>634</v>
      </c>
      <c r="C28" s="34"/>
      <c r="D28" s="16" t="s">
        <v>854</v>
      </c>
      <c r="E28" s="16" t="s">
        <v>855</v>
      </c>
      <c r="F28" s="16" t="s">
        <v>803</v>
      </c>
      <c r="G28" s="16" t="s">
        <v>884</v>
      </c>
    </row>
    <row r="29" customFormat="false" ht="34.5" hidden="false" customHeight="true" outlineLevel="0" collapsed="false">
      <c r="A29" s="33" t="s">
        <v>885</v>
      </c>
      <c r="B29" s="34" t="s">
        <v>634</v>
      </c>
      <c r="C29" s="34"/>
      <c r="D29" s="16" t="s">
        <v>854</v>
      </c>
      <c r="E29" s="16" t="s">
        <v>855</v>
      </c>
      <c r="F29" s="16" t="s">
        <v>757</v>
      </c>
      <c r="G29" s="16" t="s">
        <v>886</v>
      </c>
    </row>
    <row r="30" customFormat="false" ht="15" hidden="false" customHeight="true" outlineLevel="0" collapsed="false">
      <c r="A30" s="33" t="s">
        <v>887</v>
      </c>
      <c r="B30" s="34" t="s">
        <v>634</v>
      </c>
      <c r="C30" s="34"/>
      <c r="D30" s="16" t="s">
        <v>888</v>
      </c>
      <c r="E30" s="16" t="s">
        <v>636</v>
      </c>
      <c r="F30" s="16" t="s">
        <v>803</v>
      </c>
      <c r="G30" s="16" t="s">
        <v>889</v>
      </c>
    </row>
    <row r="31" customFormat="false" ht="15" hidden="false" customHeight="true" outlineLevel="0" collapsed="false">
      <c r="A31" s="33" t="s">
        <v>890</v>
      </c>
      <c r="B31" s="34" t="s">
        <v>634</v>
      </c>
      <c r="C31" s="34"/>
      <c r="D31" s="16" t="s">
        <v>891</v>
      </c>
      <c r="E31" s="16" t="s">
        <v>636</v>
      </c>
      <c r="F31" s="16" t="s">
        <v>803</v>
      </c>
      <c r="G31" s="16" t="s">
        <v>892</v>
      </c>
    </row>
    <row r="32" customFormat="false" ht="15" hidden="false" customHeight="true" outlineLevel="0" collapsed="false">
      <c r="A32" s="33" t="s">
        <v>893</v>
      </c>
      <c r="B32" s="34" t="s">
        <v>634</v>
      </c>
      <c r="C32" s="34"/>
      <c r="D32" s="16" t="s">
        <v>894</v>
      </c>
      <c r="E32" s="16" t="s">
        <v>636</v>
      </c>
      <c r="F32" s="16" t="s">
        <v>757</v>
      </c>
      <c r="G32" s="16" t="s">
        <v>895</v>
      </c>
    </row>
    <row r="33" customFormat="false" ht="34.5" hidden="false" customHeight="true" outlineLevel="0" collapsed="false">
      <c r="A33" s="33" t="s">
        <v>896</v>
      </c>
      <c r="B33" s="34" t="s">
        <v>634</v>
      </c>
      <c r="C33" s="34"/>
      <c r="D33" s="16" t="s">
        <v>854</v>
      </c>
      <c r="E33" s="16" t="s">
        <v>855</v>
      </c>
      <c r="F33" s="16" t="s">
        <v>803</v>
      </c>
      <c r="G33" s="16" t="s">
        <v>897</v>
      </c>
    </row>
    <row r="34" customFormat="false" ht="23.25" hidden="false" customHeight="true" outlineLevel="0" collapsed="false">
      <c r="A34" s="33" t="s">
        <v>898</v>
      </c>
      <c r="B34" s="34" t="s">
        <v>634</v>
      </c>
      <c r="C34" s="34"/>
      <c r="D34" s="16" t="s">
        <v>854</v>
      </c>
      <c r="E34" s="16" t="s">
        <v>855</v>
      </c>
      <c r="F34" s="16" t="s">
        <v>803</v>
      </c>
      <c r="G34" s="16" t="s">
        <v>899</v>
      </c>
    </row>
    <row r="35" customFormat="false" ht="15" hidden="false" customHeight="true" outlineLevel="0" collapsed="false">
      <c r="A35" s="33" t="s">
        <v>900</v>
      </c>
      <c r="B35" s="34" t="s">
        <v>634</v>
      </c>
      <c r="C35" s="34"/>
      <c r="D35" s="16" t="s">
        <v>901</v>
      </c>
      <c r="E35" s="16" t="s">
        <v>636</v>
      </c>
      <c r="F35" s="16" t="s">
        <v>803</v>
      </c>
      <c r="G35" s="16" t="s">
        <v>902</v>
      </c>
    </row>
    <row r="36" customFormat="false" ht="23.25" hidden="false" customHeight="true" outlineLevel="0" collapsed="false">
      <c r="A36" s="33" t="s">
        <v>903</v>
      </c>
      <c r="B36" s="34" t="s">
        <v>634</v>
      </c>
      <c r="C36" s="34"/>
      <c r="D36" s="16" t="s">
        <v>904</v>
      </c>
      <c r="E36" s="16" t="s">
        <v>636</v>
      </c>
      <c r="F36" s="16" t="s">
        <v>803</v>
      </c>
      <c r="G36" s="16" t="s">
        <v>905</v>
      </c>
    </row>
    <row r="37" customFormat="false" ht="23.25" hidden="false" customHeight="true" outlineLevel="0" collapsed="false">
      <c r="A37" s="33" t="s">
        <v>906</v>
      </c>
      <c r="B37" s="34" t="s">
        <v>634</v>
      </c>
      <c r="C37" s="34"/>
      <c r="D37" s="16" t="s">
        <v>854</v>
      </c>
      <c r="E37" s="16" t="s">
        <v>855</v>
      </c>
      <c r="F37" s="16" t="s">
        <v>757</v>
      </c>
      <c r="G37" s="16" t="s">
        <v>907</v>
      </c>
    </row>
    <row r="38" customFormat="false" ht="15" hidden="false" customHeight="true" outlineLevel="0" collapsed="false">
      <c r="A38" s="33" t="s">
        <v>908</v>
      </c>
      <c r="B38" s="34" t="s">
        <v>634</v>
      </c>
      <c r="C38" s="34"/>
      <c r="D38" s="16" t="s">
        <v>909</v>
      </c>
      <c r="E38" s="16" t="s">
        <v>636</v>
      </c>
      <c r="F38" s="16" t="s">
        <v>803</v>
      </c>
      <c r="G38" s="16"/>
    </row>
    <row r="39" customFormat="false" ht="23.25" hidden="false" customHeight="true" outlineLevel="0" collapsed="false">
      <c r="A39" s="33" t="s">
        <v>910</v>
      </c>
      <c r="B39" s="34" t="s">
        <v>634</v>
      </c>
      <c r="C39" s="34"/>
      <c r="D39" s="16" t="s">
        <v>854</v>
      </c>
      <c r="E39" s="16" t="s">
        <v>855</v>
      </c>
      <c r="F39" s="16" t="s">
        <v>803</v>
      </c>
      <c r="G39" s="16" t="s">
        <v>911</v>
      </c>
    </row>
    <row r="40" customFormat="false" ht="34.5" hidden="false" customHeight="true" outlineLevel="0" collapsed="false">
      <c r="A40" s="33" t="s">
        <v>912</v>
      </c>
      <c r="B40" s="34" t="s">
        <v>634</v>
      </c>
      <c r="C40" s="34"/>
      <c r="D40" s="16" t="s">
        <v>854</v>
      </c>
      <c r="E40" s="16" t="s">
        <v>855</v>
      </c>
      <c r="F40" s="16" t="s">
        <v>803</v>
      </c>
      <c r="G40" s="16" t="s">
        <v>913</v>
      </c>
    </row>
    <row r="41" customFormat="false" ht="23.25" hidden="false" customHeight="true" outlineLevel="0" collapsed="false">
      <c r="A41" s="33" t="s">
        <v>914</v>
      </c>
      <c r="B41" s="34" t="s">
        <v>634</v>
      </c>
      <c r="C41" s="34"/>
      <c r="D41" s="16" t="s">
        <v>854</v>
      </c>
      <c r="E41" s="16" t="s">
        <v>855</v>
      </c>
      <c r="F41" s="16" t="s">
        <v>803</v>
      </c>
      <c r="G41" s="16" t="s">
        <v>915</v>
      </c>
    </row>
    <row r="42" customFormat="false" ht="23.25" hidden="false" customHeight="true" outlineLevel="0" collapsed="false">
      <c r="A42" s="33" t="s">
        <v>916</v>
      </c>
      <c r="B42" s="34" t="s">
        <v>634</v>
      </c>
      <c r="C42" s="34"/>
      <c r="D42" s="16" t="s">
        <v>854</v>
      </c>
      <c r="E42" s="16" t="s">
        <v>855</v>
      </c>
      <c r="F42" s="16" t="s">
        <v>803</v>
      </c>
      <c r="G42" s="16" t="s">
        <v>917</v>
      </c>
    </row>
    <row r="43" customFormat="false" ht="23.25" hidden="false" customHeight="true" outlineLevel="0" collapsed="false">
      <c r="A43" s="33" t="s">
        <v>918</v>
      </c>
      <c r="B43" s="34" t="s">
        <v>634</v>
      </c>
      <c r="C43" s="34"/>
      <c r="D43" s="16" t="s">
        <v>919</v>
      </c>
      <c r="E43" s="16" t="s">
        <v>855</v>
      </c>
      <c r="F43" s="16" t="s">
        <v>803</v>
      </c>
      <c r="G43" s="16" t="s">
        <v>920</v>
      </c>
    </row>
    <row r="44" customFormat="false" ht="34.5" hidden="false" customHeight="true" outlineLevel="0" collapsed="false">
      <c r="A44" s="33" t="s">
        <v>921</v>
      </c>
      <c r="B44" s="34" t="s">
        <v>634</v>
      </c>
      <c r="C44" s="34"/>
      <c r="D44" s="16" t="s">
        <v>854</v>
      </c>
      <c r="E44" s="16" t="s">
        <v>855</v>
      </c>
      <c r="F44" s="16" t="s">
        <v>922</v>
      </c>
      <c r="G44" s="16" t="s">
        <v>923</v>
      </c>
    </row>
    <row r="45" customFormat="false" ht="57" hidden="false" customHeight="true" outlineLevel="0" collapsed="false">
      <c r="A45" s="33" t="s">
        <v>924</v>
      </c>
      <c r="B45" s="34" t="s">
        <v>634</v>
      </c>
      <c r="C45" s="34"/>
      <c r="D45" s="16" t="s">
        <v>854</v>
      </c>
      <c r="E45" s="16" t="s">
        <v>855</v>
      </c>
      <c r="F45" s="16" t="s">
        <v>922</v>
      </c>
      <c r="G45" s="16" t="s">
        <v>925</v>
      </c>
    </row>
    <row r="46" customFormat="false" ht="23.25" hidden="false" customHeight="true" outlineLevel="0" collapsed="false">
      <c r="A46" s="33" t="s">
        <v>926</v>
      </c>
      <c r="B46" s="34" t="s">
        <v>634</v>
      </c>
      <c r="C46" s="34"/>
      <c r="D46" s="16" t="s">
        <v>854</v>
      </c>
      <c r="E46" s="16" t="s">
        <v>855</v>
      </c>
      <c r="F46" s="16" t="s">
        <v>803</v>
      </c>
      <c r="G46" s="16" t="s">
        <v>927</v>
      </c>
    </row>
    <row r="47" customFormat="false" ht="23.25" hidden="false" customHeight="true" outlineLevel="0" collapsed="false">
      <c r="A47" s="33" t="s">
        <v>928</v>
      </c>
      <c r="B47" s="34" t="s">
        <v>634</v>
      </c>
      <c r="C47" s="34"/>
      <c r="D47" s="16" t="s">
        <v>929</v>
      </c>
      <c r="E47" s="16" t="s">
        <v>636</v>
      </c>
      <c r="F47" s="16" t="s">
        <v>803</v>
      </c>
      <c r="G47" s="16" t="s">
        <v>930</v>
      </c>
    </row>
    <row r="48" customFormat="false" ht="57" hidden="false" customHeight="true" outlineLevel="0" collapsed="false">
      <c r="A48" s="33" t="s">
        <v>931</v>
      </c>
      <c r="B48" s="34" t="s">
        <v>634</v>
      </c>
      <c r="C48" s="34"/>
      <c r="D48" s="16" t="s">
        <v>854</v>
      </c>
      <c r="E48" s="16" t="s">
        <v>855</v>
      </c>
      <c r="F48" s="16" t="s">
        <v>803</v>
      </c>
      <c r="G48" s="16" t="s">
        <v>932</v>
      </c>
    </row>
    <row r="49" customFormat="false" ht="34.5" hidden="false" customHeight="true" outlineLevel="0" collapsed="false">
      <c r="A49" s="33" t="s">
        <v>933</v>
      </c>
      <c r="B49" s="34" t="s">
        <v>634</v>
      </c>
      <c r="C49" s="34"/>
      <c r="D49" s="16" t="s">
        <v>934</v>
      </c>
      <c r="E49" s="16" t="s">
        <v>636</v>
      </c>
      <c r="F49" s="16" t="s">
        <v>803</v>
      </c>
      <c r="G49" s="16" t="s">
        <v>935</v>
      </c>
    </row>
    <row r="50" customFormat="false" ht="45.75" hidden="false" customHeight="true" outlineLevel="0" collapsed="false">
      <c r="A50" s="33" t="s">
        <v>936</v>
      </c>
      <c r="B50" s="34" t="s">
        <v>634</v>
      </c>
      <c r="C50" s="34"/>
      <c r="D50" s="16" t="s">
        <v>937</v>
      </c>
      <c r="E50" s="16" t="s">
        <v>938</v>
      </c>
      <c r="F50" s="16" t="s">
        <v>803</v>
      </c>
      <c r="G50" s="16" t="s">
        <v>939</v>
      </c>
    </row>
    <row r="51" customFormat="false" ht="34.5" hidden="false" customHeight="true" outlineLevel="0" collapsed="false">
      <c r="A51" s="33" t="s">
        <v>940</v>
      </c>
      <c r="B51" s="34" t="s">
        <v>634</v>
      </c>
      <c r="C51" s="34"/>
      <c r="D51" s="16" t="s">
        <v>934</v>
      </c>
      <c r="E51" s="16" t="s">
        <v>636</v>
      </c>
      <c r="F51" s="16" t="s">
        <v>803</v>
      </c>
      <c r="G51" s="16" t="s">
        <v>941</v>
      </c>
    </row>
    <row r="52" customFormat="false" ht="23.25" hidden="false" customHeight="true" outlineLevel="0" collapsed="false">
      <c r="A52" s="33" t="s">
        <v>942</v>
      </c>
      <c r="B52" s="34" t="s">
        <v>634</v>
      </c>
      <c r="C52" s="34"/>
      <c r="D52" s="16" t="s">
        <v>854</v>
      </c>
      <c r="E52" s="16" t="s">
        <v>855</v>
      </c>
      <c r="F52" s="16" t="s">
        <v>803</v>
      </c>
      <c r="G52" s="16" t="s">
        <v>943</v>
      </c>
    </row>
    <row r="53" customFormat="false" ht="57" hidden="false" customHeight="true" outlineLevel="0" collapsed="false">
      <c r="A53" s="33" t="s">
        <v>944</v>
      </c>
      <c r="B53" s="34" t="s">
        <v>634</v>
      </c>
      <c r="C53" s="34"/>
      <c r="D53" s="16" t="s">
        <v>854</v>
      </c>
      <c r="E53" s="16" t="s">
        <v>855</v>
      </c>
      <c r="F53" s="16" t="s">
        <v>757</v>
      </c>
      <c r="G53" s="16" t="s">
        <v>945</v>
      </c>
    </row>
    <row r="54" customFormat="false" ht="23.25" hidden="false" customHeight="true" outlineLevel="0" collapsed="false">
      <c r="A54" s="33" t="s">
        <v>946</v>
      </c>
      <c r="B54" s="34" t="s">
        <v>634</v>
      </c>
      <c r="C54" s="34"/>
      <c r="D54" s="16" t="s">
        <v>947</v>
      </c>
      <c r="E54" s="16" t="s">
        <v>636</v>
      </c>
      <c r="F54" s="16" t="s">
        <v>803</v>
      </c>
      <c r="G54" s="16" t="s">
        <v>948</v>
      </c>
    </row>
    <row r="55" customFormat="false" ht="15" hidden="false" customHeight="true" outlineLevel="0" collapsed="false">
      <c r="A55" s="33" t="s">
        <v>949</v>
      </c>
      <c r="B55" s="34" t="s">
        <v>634</v>
      </c>
      <c r="C55" s="34"/>
      <c r="D55" s="16" t="s">
        <v>950</v>
      </c>
      <c r="E55" s="16" t="s">
        <v>636</v>
      </c>
      <c r="F55" s="16" t="s">
        <v>803</v>
      </c>
      <c r="G55" s="16" t="s">
        <v>951</v>
      </c>
    </row>
    <row r="56" customFormat="false" ht="57" hidden="false" customHeight="true" outlineLevel="0" collapsed="false">
      <c r="A56" s="33" t="s">
        <v>952</v>
      </c>
      <c r="B56" s="34" t="s">
        <v>634</v>
      </c>
      <c r="C56" s="34"/>
      <c r="D56" s="16" t="s">
        <v>854</v>
      </c>
      <c r="E56" s="16" t="s">
        <v>855</v>
      </c>
      <c r="F56" s="16" t="s">
        <v>757</v>
      </c>
      <c r="G56" s="16" t="s">
        <v>953</v>
      </c>
    </row>
    <row r="57" customFormat="false" ht="23.25" hidden="false" customHeight="true" outlineLevel="0" collapsed="false">
      <c r="A57" s="33" t="s">
        <v>954</v>
      </c>
      <c r="B57" s="34" t="s">
        <v>634</v>
      </c>
      <c r="C57" s="34"/>
      <c r="D57" s="16" t="s">
        <v>955</v>
      </c>
      <c r="E57" s="16" t="s">
        <v>636</v>
      </c>
      <c r="F57" s="16" t="s">
        <v>803</v>
      </c>
      <c r="G57" s="16" t="s">
        <v>956</v>
      </c>
    </row>
    <row r="58" customFormat="false" ht="68.25" hidden="false" customHeight="true" outlineLevel="0" collapsed="false">
      <c r="A58" s="33" t="s">
        <v>957</v>
      </c>
      <c r="B58" s="34" t="s">
        <v>634</v>
      </c>
      <c r="C58" s="34"/>
      <c r="D58" s="16" t="s">
        <v>854</v>
      </c>
      <c r="E58" s="16" t="s">
        <v>855</v>
      </c>
      <c r="F58" s="16" t="s">
        <v>803</v>
      </c>
      <c r="G58" s="16" t="s">
        <v>958</v>
      </c>
    </row>
    <row r="59" customFormat="false" ht="34.5" hidden="false" customHeight="true" outlineLevel="0" collapsed="false">
      <c r="A59" s="33" t="s">
        <v>959</v>
      </c>
      <c r="B59" s="34" t="s">
        <v>634</v>
      </c>
      <c r="C59" s="34"/>
      <c r="D59" s="16" t="s">
        <v>960</v>
      </c>
      <c r="E59" s="16" t="s">
        <v>636</v>
      </c>
      <c r="F59" s="16" t="s">
        <v>803</v>
      </c>
      <c r="G59" s="16" t="s">
        <v>961</v>
      </c>
    </row>
    <row r="60" customFormat="false" ht="79.5" hidden="false" customHeight="true" outlineLevel="0" collapsed="false">
      <c r="A60" s="33" t="s">
        <v>962</v>
      </c>
      <c r="B60" s="34" t="s">
        <v>634</v>
      </c>
      <c r="C60" s="34"/>
      <c r="D60" s="16" t="s">
        <v>854</v>
      </c>
      <c r="E60" s="16" t="s">
        <v>855</v>
      </c>
      <c r="F60" s="16" t="s">
        <v>757</v>
      </c>
      <c r="G60" s="16" t="s">
        <v>963</v>
      </c>
    </row>
  </sheetData>
  <autoFilter ref="A2:G60"/>
  <mergeCells count="1">
    <mergeCell ref="A1:G1"/>
  </mergeCells>
  <conditionalFormatting sqref="B3:B60">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0">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10"/>
    <col collapsed="false" customWidth="true" hidden="false" outlineLevel="0" max="4" min="4" style="1" width="66"/>
    <col collapsed="false" customWidth="true" hidden="false" outlineLevel="0" max="5" min="5" style="1" width="26"/>
    <col collapsed="false" customWidth="true" hidden="false" outlineLevel="0" max="6" min="6" style="1" width="120"/>
  </cols>
  <sheetData>
    <row r="1" customFormat="false" ht="33.75" hidden="false" customHeight="true" outlineLevel="0" collapsed="false">
      <c r="A1" s="31" t="s">
        <v>964</v>
      </c>
      <c r="B1" s="31"/>
      <c r="C1" s="31"/>
      <c r="D1" s="31"/>
      <c r="E1" s="31"/>
      <c r="F1" s="31"/>
    </row>
    <row r="2" customFormat="false" ht="24" hidden="false" customHeight="true" outlineLevel="0" collapsed="false">
      <c r="A2" s="32" t="s">
        <v>106</v>
      </c>
      <c r="B2" s="32" t="s">
        <v>10</v>
      </c>
      <c r="C2" s="32" t="s">
        <v>576</v>
      </c>
      <c r="D2" s="32" t="s">
        <v>965</v>
      </c>
      <c r="E2" s="32" t="s">
        <v>966</v>
      </c>
      <c r="F2" s="32" t="s">
        <v>967</v>
      </c>
    </row>
    <row r="3" customFormat="false" ht="79.5" hidden="false" customHeight="true" outlineLevel="0" collapsed="false">
      <c r="A3" s="33" t="s">
        <v>968</v>
      </c>
      <c r="B3" s="34" t="s">
        <v>969</v>
      </c>
      <c r="C3" s="34"/>
      <c r="D3" s="16" t="s">
        <v>970</v>
      </c>
      <c r="E3" s="16" t="s">
        <v>422</v>
      </c>
      <c r="F3" s="16" t="s">
        <v>971</v>
      </c>
    </row>
    <row r="4" customFormat="false" ht="57" hidden="false" customHeight="true" outlineLevel="0" collapsed="false">
      <c r="A4" s="33" t="s">
        <v>972</v>
      </c>
      <c r="B4" s="34" t="s">
        <v>969</v>
      </c>
      <c r="C4" s="34"/>
      <c r="D4" s="16" t="s">
        <v>973</v>
      </c>
      <c r="E4" s="16" t="s">
        <v>422</v>
      </c>
      <c r="F4" s="16" t="s">
        <v>974</v>
      </c>
    </row>
    <row r="5" customFormat="false" ht="79.5" hidden="false" customHeight="true" outlineLevel="0" collapsed="false">
      <c r="A5" s="33" t="s">
        <v>975</v>
      </c>
      <c r="B5" s="34" t="s">
        <v>969</v>
      </c>
      <c r="C5" s="34"/>
      <c r="D5" s="16" t="s">
        <v>976</v>
      </c>
      <c r="E5" s="16" t="s">
        <v>422</v>
      </c>
      <c r="F5" s="16" t="s">
        <v>977</v>
      </c>
    </row>
    <row r="6" customFormat="false" ht="34.5" hidden="false" customHeight="true" outlineLevel="0" collapsed="false">
      <c r="A6" s="33" t="s">
        <v>978</v>
      </c>
      <c r="B6" s="34" t="s">
        <v>969</v>
      </c>
      <c r="C6" s="34"/>
      <c r="D6" s="16" t="s">
        <v>979</v>
      </c>
      <c r="E6" s="16" t="s">
        <v>422</v>
      </c>
      <c r="F6" s="16" t="s">
        <v>980</v>
      </c>
    </row>
    <row r="7" customFormat="false" ht="23.25" hidden="false" customHeight="true" outlineLevel="0" collapsed="false">
      <c r="A7" s="33" t="s">
        <v>981</v>
      </c>
      <c r="B7" s="34" t="s">
        <v>969</v>
      </c>
      <c r="C7" s="34"/>
      <c r="D7" s="16" t="s">
        <v>982</v>
      </c>
      <c r="E7" s="16" t="s">
        <v>419</v>
      </c>
      <c r="F7" s="16" t="s">
        <v>983</v>
      </c>
    </row>
    <row r="8" customFormat="false" ht="34.5" hidden="false" customHeight="true" outlineLevel="0" collapsed="false">
      <c r="A8" s="33" t="s">
        <v>984</v>
      </c>
      <c r="B8" s="34" t="s">
        <v>969</v>
      </c>
      <c r="C8" s="34"/>
      <c r="D8" s="16" t="s">
        <v>985</v>
      </c>
      <c r="E8" s="16" t="s">
        <v>419</v>
      </c>
      <c r="F8" s="16" t="s">
        <v>986</v>
      </c>
    </row>
    <row r="9" customFormat="false" ht="45.75" hidden="false" customHeight="true" outlineLevel="0" collapsed="false">
      <c r="A9" s="33" t="s">
        <v>987</v>
      </c>
      <c r="B9" s="34" t="s">
        <v>969</v>
      </c>
      <c r="C9" s="34"/>
      <c r="D9" s="16" t="s">
        <v>988</v>
      </c>
      <c r="E9" s="16" t="s">
        <v>419</v>
      </c>
      <c r="F9" s="16" t="s">
        <v>989</v>
      </c>
    </row>
    <row r="10" customFormat="false" ht="57" hidden="false" customHeight="true" outlineLevel="0" collapsed="false">
      <c r="A10" s="33" t="s">
        <v>990</v>
      </c>
      <c r="B10" s="34" t="s">
        <v>969</v>
      </c>
      <c r="C10" s="34"/>
      <c r="D10" s="16" t="s">
        <v>991</v>
      </c>
      <c r="E10" s="16" t="s">
        <v>419</v>
      </c>
      <c r="F10" s="16" t="s">
        <v>992</v>
      </c>
    </row>
    <row r="11" customFormat="false" ht="68.25" hidden="false" customHeight="true" outlineLevel="0" collapsed="false">
      <c r="A11" s="33" t="s">
        <v>993</v>
      </c>
      <c r="B11" s="34" t="s">
        <v>969</v>
      </c>
      <c r="C11" s="34"/>
      <c r="D11" s="16" t="s">
        <v>994</v>
      </c>
      <c r="E11" s="16" t="s">
        <v>412</v>
      </c>
      <c r="F11" s="16" t="s">
        <v>995</v>
      </c>
    </row>
    <row r="12" customFormat="false" ht="68.25" hidden="false" customHeight="true" outlineLevel="0" collapsed="false">
      <c r="A12" s="33" t="s">
        <v>996</v>
      </c>
      <c r="B12" s="34" t="s">
        <v>969</v>
      </c>
      <c r="C12" s="34"/>
      <c r="D12" s="16" t="s">
        <v>997</v>
      </c>
      <c r="E12" s="16" t="s">
        <v>412</v>
      </c>
      <c r="F12" s="16" t="s">
        <v>998</v>
      </c>
    </row>
    <row r="13" customFormat="false" ht="68.25" hidden="false" customHeight="true" outlineLevel="0" collapsed="false">
      <c r="A13" s="33" t="s">
        <v>999</v>
      </c>
      <c r="B13" s="34" t="s">
        <v>969</v>
      </c>
      <c r="C13" s="34"/>
      <c r="D13" s="16" t="s">
        <v>1000</v>
      </c>
      <c r="E13" s="16" t="s">
        <v>412</v>
      </c>
      <c r="F13" s="16" t="s">
        <v>1001</v>
      </c>
    </row>
    <row r="14" customFormat="false" ht="45.75" hidden="false" customHeight="true" outlineLevel="0" collapsed="false">
      <c r="A14" s="33" t="s">
        <v>1002</v>
      </c>
      <c r="B14" s="34" t="s">
        <v>969</v>
      </c>
      <c r="C14" s="34"/>
      <c r="D14" s="16" t="s">
        <v>1003</v>
      </c>
      <c r="E14" s="16" t="s">
        <v>408</v>
      </c>
      <c r="F14" s="16" t="s">
        <v>1004</v>
      </c>
    </row>
    <row r="15" customFormat="false" ht="57" hidden="false" customHeight="true" outlineLevel="0" collapsed="false">
      <c r="A15" s="33" t="s">
        <v>1005</v>
      </c>
      <c r="B15" s="34" t="s">
        <v>969</v>
      </c>
      <c r="C15" s="34"/>
      <c r="D15" s="16" t="s">
        <v>1006</v>
      </c>
      <c r="E15" s="16" t="s">
        <v>408</v>
      </c>
      <c r="F15" s="16" t="s">
        <v>1007</v>
      </c>
    </row>
    <row r="16" customFormat="false" ht="57" hidden="false" customHeight="true" outlineLevel="0" collapsed="false">
      <c r="A16" s="33" t="s">
        <v>1008</v>
      </c>
      <c r="B16" s="34" t="s">
        <v>969</v>
      </c>
      <c r="C16" s="34"/>
      <c r="D16" s="16" t="s">
        <v>1009</v>
      </c>
      <c r="E16" s="16" t="s">
        <v>408</v>
      </c>
      <c r="F16" s="16" t="s">
        <v>1010</v>
      </c>
    </row>
    <row r="17" customFormat="false" ht="57" hidden="false" customHeight="true" outlineLevel="0" collapsed="false">
      <c r="A17" s="33" t="s">
        <v>1011</v>
      </c>
      <c r="B17" s="34" t="s">
        <v>969</v>
      </c>
      <c r="C17" s="34"/>
      <c r="D17" s="16" t="s">
        <v>1012</v>
      </c>
      <c r="E17" s="16" t="s">
        <v>408</v>
      </c>
      <c r="F17" s="16" t="s">
        <v>1013</v>
      </c>
    </row>
    <row r="18" customFormat="false" ht="68.25" hidden="false" customHeight="true" outlineLevel="0" collapsed="false">
      <c r="A18" s="33" t="s">
        <v>1014</v>
      </c>
      <c r="B18" s="34" t="s">
        <v>969</v>
      </c>
      <c r="C18" s="34"/>
      <c r="D18" s="16" t="s">
        <v>1015</v>
      </c>
      <c r="E18" s="16" t="s">
        <v>404</v>
      </c>
      <c r="F18" s="16" t="s">
        <v>1016</v>
      </c>
    </row>
    <row r="19" customFormat="false" ht="45.75" hidden="false" customHeight="true" outlineLevel="0" collapsed="false">
      <c r="A19" s="33" t="s">
        <v>1017</v>
      </c>
      <c r="B19" s="34" t="s">
        <v>969</v>
      </c>
      <c r="C19" s="34"/>
      <c r="D19" s="16" t="s">
        <v>1018</v>
      </c>
      <c r="E19" s="16" t="s">
        <v>404</v>
      </c>
      <c r="F19" s="16" t="s">
        <v>1019</v>
      </c>
    </row>
    <row r="20" customFormat="false" ht="57" hidden="false" customHeight="true" outlineLevel="0" collapsed="false">
      <c r="A20" s="33" t="s">
        <v>1020</v>
      </c>
      <c r="B20" s="34" t="s">
        <v>969</v>
      </c>
      <c r="C20" s="34"/>
      <c r="D20" s="16" t="s">
        <v>1021</v>
      </c>
      <c r="E20" s="16" t="s">
        <v>404</v>
      </c>
      <c r="F20" s="16" t="s">
        <v>1022</v>
      </c>
    </row>
    <row r="21" customFormat="false" ht="34.5" hidden="false" customHeight="true" outlineLevel="0" collapsed="false">
      <c r="A21" s="33" t="s">
        <v>1023</v>
      </c>
      <c r="B21" s="34" t="s">
        <v>969</v>
      </c>
      <c r="C21" s="34"/>
      <c r="D21" s="16" t="s">
        <v>1024</v>
      </c>
      <c r="E21" s="16" t="s">
        <v>404</v>
      </c>
      <c r="F21" s="16" t="s">
        <v>1025</v>
      </c>
    </row>
    <row r="22" customFormat="false" ht="68.25" hidden="false" customHeight="true" outlineLevel="0" collapsed="false">
      <c r="A22" s="33" t="s">
        <v>1026</v>
      </c>
      <c r="B22" s="34" t="s">
        <v>969</v>
      </c>
      <c r="C22" s="34"/>
      <c r="D22" s="16" t="s">
        <v>1027</v>
      </c>
      <c r="E22" s="16" t="s">
        <v>404</v>
      </c>
      <c r="F22" s="16" t="s">
        <v>1028</v>
      </c>
    </row>
    <row r="23" customFormat="false" ht="57" hidden="false" customHeight="true" outlineLevel="0" collapsed="false">
      <c r="A23" s="33" t="s">
        <v>1029</v>
      </c>
      <c r="B23" s="34" t="s">
        <v>969</v>
      </c>
      <c r="C23" s="34"/>
      <c r="D23" s="16" t="s">
        <v>1030</v>
      </c>
      <c r="E23" s="16" t="s">
        <v>404</v>
      </c>
      <c r="F23" s="16" t="s">
        <v>1031</v>
      </c>
    </row>
    <row r="24" customFormat="false" ht="34.5" hidden="false" customHeight="true" outlineLevel="0" collapsed="false">
      <c r="A24" s="33" t="s">
        <v>1032</v>
      </c>
      <c r="B24" s="34" t="s">
        <v>969</v>
      </c>
      <c r="C24" s="34"/>
      <c r="D24" s="16" t="s">
        <v>1033</v>
      </c>
      <c r="E24" s="16" t="s">
        <v>432</v>
      </c>
      <c r="F24" s="16" t="s">
        <v>1034</v>
      </c>
    </row>
    <row r="25" customFormat="false" ht="45.75" hidden="false" customHeight="true" outlineLevel="0" collapsed="false">
      <c r="A25" s="33" t="s">
        <v>1035</v>
      </c>
      <c r="B25" s="34" t="s">
        <v>969</v>
      </c>
      <c r="C25" s="34"/>
      <c r="D25" s="16" t="s">
        <v>1036</v>
      </c>
      <c r="E25" s="16" t="s">
        <v>432</v>
      </c>
      <c r="F25" s="16" t="s">
        <v>1037</v>
      </c>
    </row>
    <row r="26" customFormat="false" ht="57" hidden="false" customHeight="true" outlineLevel="0" collapsed="false">
      <c r="A26" s="33" t="s">
        <v>1038</v>
      </c>
      <c r="B26" s="34" t="s">
        <v>969</v>
      </c>
      <c r="C26" s="34"/>
      <c r="D26" s="16" t="s">
        <v>1039</v>
      </c>
      <c r="E26" s="16" t="s">
        <v>524</v>
      </c>
      <c r="F26" s="16" t="s">
        <v>1040</v>
      </c>
    </row>
    <row r="27" customFormat="false" ht="68.25" hidden="false" customHeight="true" outlineLevel="0" collapsed="false">
      <c r="A27" s="33" t="s">
        <v>1041</v>
      </c>
      <c r="B27" s="34" t="s">
        <v>969</v>
      </c>
      <c r="C27" s="34"/>
      <c r="D27" s="16" t="s">
        <v>1042</v>
      </c>
      <c r="E27" s="16" t="s">
        <v>401</v>
      </c>
      <c r="F27" s="16" t="s">
        <v>1043</v>
      </c>
    </row>
    <row r="28" customFormat="false" ht="57" hidden="false" customHeight="true" outlineLevel="0" collapsed="false">
      <c r="A28" s="33" t="s">
        <v>1044</v>
      </c>
      <c r="B28" s="34" t="s">
        <v>969</v>
      </c>
      <c r="C28" s="34"/>
      <c r="D28" s="16" t="s">
        <v>1045</v>
      </c>
      <c r="E28" s="16" t="s">
        <v>401</v>
      </c>
      <c r="F28" s="16" t="s">
        <v>1046</v>
      </c>
    </row>
    <row r="29" customFormat="false" ht="68.25" hidden="false" customHeight="true" outlineLevel="0" collapsed="false">
      <c r="A29" s="33" t="s">
        <v>1047</v>
      </c>
      <c r="B29" s="34" t="s">
        <v>969</v>
      </c>
      <c r="C29" s="34"/>
      <c r="D29" s="16" t="s">
        <v>1048</v>
      </c>
      <c r="E29" s="16" t="s">
        <v>401</v>
      </c>
      <c r="F29" s="16" t="s">
        <v>1049</v>
      </c>
    </row>
    <row r="30" customFormat="false" ht="45.75" hidden="false" customHeight="true" outlineLevel="0" collapsed="false">
      <c r="A30" s="33" t="s">
        <v>1050</v>
      </c>
      <c r="B30" s="34" t="s">
        <v>969</v>
      </c>
      <c r="C30" s="34"/>
      <c r="D30" s="16" t="s">
        <v>1051</v>
      </c>
      <c r="E30" s="16" t="s">
        <v>401</v>
      </c>
      <c r="F30" s="16" t="s">
        <v>1052</v>
      </c>
    </row>
    <row r="31" customFormat="false" ht="79.5" hidden="false" customHeight="true" outlineLevel="0" collapsed="false">
      <c r="A31" s="33" t="s">
        <v>1053</v>
      </c>
      <c r="B31" s="34" t="s">
        <v>969</v>
      </c>
      <c r="C31" s="34"/>
      <c r="D31" s="16" t="s">
        <v>1054</v>
      </c>
      <c r="E31" s="16" t="s">
        <v>401</v>
      </c>
      <c r="F31" s="16" t="s">
        <v>1055</v>
      </c>
    </row>
    <row r="32" customFormat="false" ht="68.25" hidden="false" customHeight="true" outlineLevel="0" collapsed="false">
      <c r="A32" s="33" t="s">
        <v>1056</v>
      </c>
      <c r="B32" s="34" t="s">
        <v>969</v>
      </c>
      <c r="C32" s="34" t="s">
        <v>583</v>
      </c>
      <c r="D32" s="16" t="s">
        <v>1057</v>
      </c>
      <c r="E32" s="16" t="s">
        <v>401</v>
      </c>
      <c r="F32" s="16" t="s">
        <v>1058</v>
      </c>
    </row>
    <row r="33" customFormat="false" ht="45.75" hidden="false" customHeight="true" outlineLevel="0" collapsed="false">
      <c r="A33" s="33" t="s">
        <v>1059</v>
      </c>
      <c r="B33" s="34" t="s">
        <v>969</v>
      </c>
      <c r="C33" s="34"/>
      <c r="D33" s="16" t="s">
        <v>1060</v>
      </c>
      <c r="E33" s="16" t="s">
        <v>429</v>
      </c>
      <c r="F33" s="16" t="s">
        <v>1061</v>
      </c>
    </row>
    <row r="34" customFormat="false" ht="45.75" hidden="false" customHeight="true" outlineLevel="0" collapsed="false">
      <c r="A34" s="33" t="s">
        <v>1062</v>
      </c>
      <c r="B34" s="34" t="s">
        <v>969</v>
      </c>
      <c r="C34" s="34"/>
      <c r="D34" s="16" t="s">
        <v>1063</v>
      </c>
      <c r="E34" s="16" t="s">
        <v>429</v>
      </c>
      <c r="F34" s="16" t="s">
        <v>1064</v>
      </c>
    </row>
    <row r="35" customFormat="false" ht="68.25" hidden="false" customHeight="true" outlineLevel="0" collapsed="false">
      <c r="A35" s="33" t="s">
        <v>1065</v>
      </c>
      <c r="B35" s="34" t="s">
        <v>969</v>
      </c>
      <c r="C35" s="34"/>
      <c r="D35" s="16" t="s">
        <v>1066</v>
      </c>
      <c r="E35" s="16" t="s">
        <v>398</v>
      </c>
      <c r="F35" s="16" t="s">
        <v>1067</v>
      </c>
    </row>
    <row r="36" customFormat="false" ht="57" hidden="false" customHeight="true" outlineLevel="0" collapsed="false">
      <c r="A36" s="33" t="s">
        <v>1068</v>
      </c>
      <c r="B36" s="34" t="s">
        <v>969</v>
      </c>
      <c r="C36" s="34"/>
      <c r="D36" s="16" t="s">
        <v>1069</v>
      </c>
      <c r="E36" s="16" t="s">
        <v>398</v>
      </c>
      <c r="F36" s="16" t="s">
        <v>1070</v>
      </c>
    </row>
    <row r="37" customFormat="false" ht="68.25" hidden="false" customHeight="true" outlineLevel="0" collapsed="false">
      <c r="A37" s="33" t="s">
        <v>1071</v>
      </c>
      <c r="B37" s="34" t="s">
        <v>969</v>
      </c>
      <c r="C37" s="34"/>
      <c r="D37" s="16" t="s">
        <v>1072</v>
      </c>
      <c r="E37" s="16" t="s">
        <v>383</v>
      </c>
      <c r="F37" s="16" t="s">
        <v>1073</v>
      </c>
    </row>
    <row r="38" customFormat="false" ht="45.75" hidden="false" customHeight="true" outlineLevel="0" collapsed="false">
      <c r="A38" s="33" t="s">
        <v>1074</v>
      </c>
      <c r="B38" s="34" t="s">
        <v>969</v>
      </c>
      <c r="C38" s="34"/>
      <c r="D38" s="16" t="s">
        <v>1075</v>
      </c>
      <c r="E38" s="16" t="s">
        <v>383</v>
      </c>
      <c r="F38" s="16" t="s">
        <v>1076</v>
      </c>
    </row>
    <row r="39" customFormat="false" ht="90.75" hidden="false" customHeight="true" outlineLevel="0" collapsed="false">
      <c r="A39" s="33" t="s">
        <v>1077</v>
      </c>
      <c r="B39" s="34" t="s">
        <v>969</v>
      </c>
      <c r="C39" s="34"/>
      <c r="D39" s="16" t="s">
        <v>1078</v>
      </c>
      <c r="E39" s="16" t="s">
        <v>383</v>
      </c>
      <c r="F39" s="16" t="s">
        <v>1079</v>
      </c>
    </row>
    <row r="40" customFormat="false" ht="45.75" hidden="false" customHeight="true" outlineLevel="0" collapsed="false">
      <c r="A40" s="33" t="s">
        <v>1080</v>
      </c>
      <c r="B40" s="34" t="s">
        <v>969</v>
      </c>
      <c r="C40" s="34"/>
      <c r="D40" s="16" t="s">
        <v>1081</v>
      </c>
      <c r="E40" s="16" t="s">
        <v>386</v>
      </c>
      <c r="F40" s="16" t="s">
        <v>1082</v>
      </c>
    </row>
    <row r="41" customFormat="false" ht="57" hidden="false" customHeight="true" outlineLevel="0" collapsed="false">
      <c r="A41" s="33" t="s">
        <v>1083</v>
      </c>
      <c r="B41" s="34" t="s">
        <v>969</v>
      </c>
      <c r="C41" s="34"/>
      <c r="D41" s="16" t="s">
        <v>1084</v>
      </c>
      <c r="E41" s="16" t="s">
        <v>386</v>
      </c>
      <c r="F41" s="16" t="s">
        <v>1085</v>
      </c>
    </row>
    <row r="42" customFormat="false" ht="45.75" hidden="false" customHeight="true" outlineLevel="0" collapsed="false">
      <c r="A42" s="33" t="s">
        <v>1086</v>
      </c>
      <c r="B42" s="34" t="s">
        <v>969</v>
      </c>
      <c r="C42" s="34"/>
      <c r="D42" s="16" t="s">
        <v>1087</v>
      </c>
      <c r="E42" s="16" t="s">
        <v>386</v>
      </c>
      <c r="F42" s="16" t="s">
        <v>1088</v>
      </c>
    </row>
    <row r="43" customFormat="false" ht="68.25" hidden="false" customHeight="true" outlineLevel="0" collapsed="false">
      <c r="A43" s="33" t="s">
        <v>1089</v>
      </c>
      <c r="B43" s="34" t="s">
        <v>969</v>
      </c>
      <c r="C43" s="34"/>
      <c r="D43" s="16" t="s">
        <v>1090</v>
      </c>
      <c r="E43" s="16" t="s">
        <v>374</v>
      </c>
      <c r="F43" s="16" t="s">
        <v>1091</v>
      </c>
    </row>
    <row r="44" customFormat="false" ht="79.5" hidden="false" customHeight="true" outlineLevel="0" collapsed="false">
      <c r="A44" s="33" t="s">
        <v>1092</v>
      </c>
      <c r="B44" s="34" t="s">
        <v>969</v>
      </c>
      <c r="C44" s="34"/>
      <c r="D44" s="16" t="s">
        <v>1093</v>
      </c>
      <c r="E44" s="16" t="s">
        <v>374</v>
      </c>
      <c r="F44" s="16" t="s">
        <v>1094</v>
      </c>
    </row>
    <row r="45" customFormat="false" ht="124.5" hidden="false" customHeight="true" outlineLevel="0" collapsed="false">
      <c r="A45" s="33" t="s">
        <v>1095</v>
      </c>
      <c r="B45" s="34" t="s">
        <v>969</v>
      </c>
      <c r="C45" s="34"/>
      <c r="D45" s="16" t="s">
        <v>1096</v>
      </c>
      <c r="E45" s="16" t="s">
        <v>371</v>
      </c>
      <c r="F45" s="16" t="s">
        <v>1097</v>
      </c>
    </row>
    <row r="46" customFormat="false" ht="90.75" hidden="false" customHeight="true" outlineLevel="0" collapsed="false">
      <c r="A46" s="33" t="s">
        <v>1098</v>
      </c>
      <c r="B46" s="34" t="s">
        <v>969</v>
      </c>
      <c r="C46" s="34"/>
      <c r="D46" s="16" t="s">
        <v>1099</v>
      </c>
      <c r="E46" s="16" t="s">
        <v>371</v>
      </c>
      <c r="F46" s="16" t="s">
        <v>1100</v>
      </c>
    </row>
    <row r="47" customFormat="false" ht="68.25" hidden="false" customHeight="true" outlineLevel="0" collapsed="false">
      <c r="A47" s="33" t="s">
        <v>1101</v>
      </c>
      <c r="B47" s="34" t="s">
        <v>969</v>
      </c>
      <c r="C47" s="34"/>
      <c r="D47" s="16" t="s">
        <v>1102</v>
      </c>
      <c r="E47" s="16" t="s">
        <v>371</v>
      </c>
      <c r="F47" s="16" t="s">
        <v>1103</v>
      </c>
    </row>
    <row r="48" customFormat="false" ht="45.75" hidden="false" customHeight="true" outlineLevel="0" collapsed="false">
      <c r="A48" s="33" t="s">
        <v>1104</v>
      </c>
      <c r="B48" s="34" t="s">
        <v>969</v>
      </c>
      <c r="C48" s="34"/>
      <c r="D48" s="16" t="s">
        <v>1105</v>
      </c>
      <c r="E48" s="16" t="s">
        <v>371</v>
      </c>
      <c r="F48" s="16" t="s">
        <v>1106</v>
      </c>
    </row>
    <row r="49" customFormat="false" ht="57" hidden="false" customHeight="true" outlineLevel="0" collapsed="false">
      <c r="A49" s="33" t="s">
        <v>1107</v>
      </c>
      <c r="B49" s="34" t="s">
        <v>969</v>
      </c>
      <c r="C49" s="34"/>
      <c r="D49" s="16" t="s">
        <v>1108</v>
      </c>
      <c r="E49" s="16" t="s">
        <v>377</v>
      </c>
      <c r="F49" s="16" t="s">
        <v>1109</v>
      </c>
    </row>
    <row r="50" customFormat="false" ht="79.5" hidden="false" customHeight="true" outlineLevel="0" collapsed="false">
      <c r="A50" s="33" t="s">
        <v>1110</v>
      </c>
      <c r="B50" s="34" t="s">
        <v>969</v>
      </c>
      <c r="C50" s="34"/>
      <c r="D50" s="16" t="s">
        <v>1111</v>
      </c>
      <c r="E50" s="16" t="s">
        <v>377</v>
      </c>
      <c r="F50" s="16" t="s">
        <v>1112</v>
      </c>
    </row>
    <row r="51" customFormat="false" ht="113.25" hidden="false" customHeight="true" outlineLevel="0" collapsed="false">
      <c r="A51" s="33" t="s">
        <v>1113</v>
      </c>
      <c r="B51" s="34" t="s">
        <v>969</v>
      </c>
      <c r="C51" s="34"/>
      <c r="D51" s="16" t="s">
        <v>1114</v>
      </c>
      <c r="E51" s="16" t="s">
        <v>365</v>
      </c>
      <c r="F51" s="16" t="s">
        <v>1115</v>
      </c>
    </row>
    <row r="52" customFormat="false" ht="102" hidden="false" customHeight="true" outlineLevel="0" collapsed="false">
      <c r="A52" s="33" t="s">
        <v>1116</v>
      </c>
      <c r="B52" s="34" t="s">
        <v>969</v>
      </c>
      <c r="C52" s="34"/>
      <c r="D52" s="16" t="s">
        <v>1117</v>
      </c>
      <c r="E52" s="16" t="s">
        <v>365</v>
      </c>
      <c r="F52" s="16" t="s">
        <v>1118</v>
      </c>
    </row>
    <row r="53" customFormat="false" ht="79.5" hidden="false" customHeight="true" outlineLevel="0" collapsed="false">
      <c r="A53" s="33" t="s">
        <v>1119</v>
      </c>
      <c r="B53" s="34" t="s">
        <v>969</v>
      </c>
      <c r="C53" s="34"/>
      <c r="D53" s="16" t="s">
        <v>1120</v>
      </c>
      <c r="E53" s="16" t="s">
        <v>362</v>
      </c>
      <c r="F53" s="16" t="s">
        <v>1121</v>
      </c>
    </row>
    <row r="54" customFormat="false" ht="45.75" hidden="false" customHeight="true" outlineLevel="0" collapsed="false">
      <c r="A54" s="33" t="s">
        <v>1122</v>
      </c>
      <c r="B54" s="34" t="s">
        <v>969</v>
      </c>
      <c r="C54" s="34"/>
      <c r="D54" s="16" t="s">
        <v>1123</v>
      </c>
      <c r="E54" s="16" t="s">
        <v>362</v>
      </c>
      <c r="F54" s="16" t="s">
        <v>1124</v>
      </c>
    </row>
    <row r="55" customFormat="false" ht="79.5" hidden="false" customHeight="true" outlineLevel="0" collapsed="false">
      <c r="A55" s="33" t="s">
        <v>1125</v>
      </c>
      <c r="B55" s="34" t="s">
        <v>969</v>
      </c>
      <c r="C55" s="34"/>
      <c r="D55" s="16" t="s">
        <v>1126</v>
      </c>
      <c r="E55" s="16" t="s">
        <v>362</v>
      </c>
      <c r="F55" s="16" t="s">
        <v>1127</v>
      </c>
    </row>
    <row r="56" customFormat="false" ht="79.5" hidden="false" customHeight="true" outlineLevel="0" collapsed="false">
      <c r="A56" s="33" t="s">
        <v>1128</v>
      </c>
      <c r="B56" s="34" t="s">
        <v>969</v>
      </c>
      <c r="C56" s="34"/>
      <c r="D56" s="16" t="s">
        <v>1129</v>
      </c>
      <c r="E56" s="16" t="s">
        <v>362</v>
      </c>
      <c r="F56" s="16" t="s">
        <v>1130</v>
      </c>
    </row>
    <row r="57" customFormat="false" ht="68.25" hidden="false" customHeight="true" outlineLevel="0" collapsed="false">
      <c r="A57" s="33" t="s">
        <v>1131</v>
      </c>
      <c r="B57" s="34" t="s">
        <v>969</v>
      </c>
      <c r="C57" s="34"/>
      <c r="D57" s="16" t="s">
        <v>1132</v>
      </c>
      <c r="E57" s="16" t="s">
        <v>359</v>
      </c>
      <c r="F57" s="16" t="s">
        <v>1133</v>
      </c>
    </row>
    <row r="58" customFormat="false" ht="34.5" hidden="false" customHeight="true" outlineLevel="0" collapsed="false">
      <c r="A58" s="33" t="s">
        <v>1134</v>
      </c>
      <c r="B58" s="34" t="s">
        <v>969</v>
      </c>
      <c r="C58" s="34"/>
      <c r="D58" s="16" t="s">
        <v>1135</v>
      </c>
      <c r="E58" s="16" t="s">
        <v>359</v>
      </c>
      <c r="F58" s="16" t="s">
        <v>1136</v>
      </c>
    </row>
    <row r="59" customFormat="false" ht="79.5" hidden="false" customHeight="true" outlineLevel="0" collapsed="false">
      <c r="A59" s="33" t="s">
        <v>1137</v>
      </c>
      <c r="B59" s="34" t="s">
        <v>969</v>
      </c>
      <c r="C59" s="34"/>
      <c r="D59" s="16" t="s">
        <v>1138</v>
      </c>
      <c r="E59" s="16" t="s">
        <v>359</v>
      </c>
      <c r="F59" s="16" t="s">
        <v>1139</v>
      </c>
    </row>
    <row r="60" customFormat="false" ht="102" hidden="false" customHeight="true" outlineLevel="0" collapsed="false">
      <c r="A60" s="33" t="s">
        <v>1140</v>
      </c>
      <c r="B60" s="34" t="s">
        <v>969</v>
      </c>
      <c r="C60" s="34"/>
      <c r="D60" s="16" t="s">
        <v>1141</v>
      </c>
      <c r="E60" s="16" t="s">
        <v>359</v>
      </c>
      <c r="F60" s="16" t="s">
        <v>1142</v>
      </c>
    </row>
    <row r="61" customFormat="false" ht="90.75" hidden="false" customHeight="true" outlineLevel="0" collapsed="false">
      <c r="A61" s="33" t="s">
        <v>1143</v>
      </c>
      <c r="B61" s="34" t="s">
        <v>969</v>
      </c>
      <c r="C61" s="34"/>
      <c r="D61" s="16" t="s">
        <v>1144</v>
      </c>
      <c r="E61" s="16" t="s">
        <v>356</v>
      </c>
      <c r="F61" s="16" t="s">
        <v>1145</v>
      </c>
    </row>
    <row r="62" customFormat="false" ht="57" hidden="false" customHeight="true" outlineLevel="0" collapsed="false">
      <c r="A62" s="33" t="s">
        <v>1146</v>
      </c>
      <c r="B62" s="34" t="s">
        <v>969</v>
      </c>
      <c r="C62" s="34"/>
      <c r="D62" s="16" t="s">
        <v>1147</v>
      </c>
      <c r="E62" s="16" t="s">
        <v>356</v>
      </c>
      <c r="F62" s="16" t="s">
        <v>1148</v>
      </c>
    </row>
    <row r="63" customFormat="false" ht="90.75" hidden="false" customHeight="true" outlineLevel="0" collapsed="false">
      <c r="A63" s="33" t="s">
        <v>1149</v>
      </c>
      <c r="B63" s="34" t="s">
        <v>969</v>
      </c>
      <c r="C63" s="34"/>
      <c r="D63" s="16" t="s">
        <v>1150</v>
      </c>
      <c r="E63" s="16" t="s">
        <v>356</v>
      </c>
      <c r="F63" s="16" t="s">
        <v>1151</v>
      </c>
    </row>
    <row r="64" customFormat="false" ht="102" hidden="false" customHeight="true" outlineLevel="0" collapsed="false">
      <c r="A64" s="33" t="s">
        <v>1152</v>
      </c>
      <c r="B64" s="34" t="s">
        <v>969</v>
      </c>
      <c r="C64" s="34"/>
      <c r="D64" s="16" t="s">
        <v>1153</v>
      </c>
      <c r="E64" s="16" t="s">
        <v>356</v>
      </c>
      <c r="F64" s="16" t="s">
        <v>1154</v>
      </c>
    </row>
    <row r="65" customFormat="false" ht="90.75" hidden="false" customHeight="true" outlineLevel="0" collapsed="false">
      <c r="A65" s="33" t="s">
        <v>1155</v>
      </c>
      <c r="B65" s="34" t="s">
        <v>969</v>
      </c>
      <c r="C65" s="34"/>
      <c r="D65" s="16" t="s">
        <v>1156</v>
      </c>
      <c r="E65" s="16" t="s">
        <v>353</v>
      </c>
      <c r="F65" s="16" t="s">
        <v>1157</v>
      </c>
    </row>
    <row r="66" customFormat="false" ht="68.25" hidden="false" customHeight="true" outlineLevel="0" collapsed="false">
      <c r="A66" s="33" t="s">
        <v>1158</v>
      </c>
      <c r="B66" s="34" t="s">
        <v>969</v>
      </c>
      <c r="C66" s="34"/>
      <c r="D66" s="16" t="s">
        <v>1159</v>
      </c>
      <c r="E66" s="16" t="s">
        <v>350</v>
      </c>
      <c r="F66" s="16" t="s">
        <v>1160</v>
      </c>
    </row>
    <row r="67" customFormat="false" ht="68.25" hidden="false" customHeight="true" outlineLevel="0" collapsed="false">
      <c r="A67" s="33" t="s">
        <v>1161</v>
      </c>
      <c r="B67" s="34" t="s">
        <v>969</v>
      </c>
      <c r="C67" s="34"/>
      <c r="D67" s="16" t="s">
        <v>1162</v>
      </c>
      <c r="E67" s="16" t="s">
        <v>350</v>
      </c>
      <c r="F67" s="16" t="s">
        <v>1163</v>
      </c>
    </row>
    <row r="68" customFormat="false" ht="79.5" hidden="false" customHeight="true" outlineLevel="0" collapsed="false">
      <c r="A68" s="33" t="s">
        <v>1164</v>
      </c>
      <c r="B68" s="34" t="s">
        <v>969</v>
      </c>
      <c r="C68" s="34"/>
      <c r="D68" s="16" t="s">
        <v>1165</v>
      </c>
      <c r="E68" s="16" t="s">
        <v>348</v>
      </c>
      <c r="F68" s="16" t="s">
        <v>1166</v>
      </c>
    </row>
    <row r="69" customFormat="false" ht="57" hidden="false" customHeight="true" outlineLevel="0" collapsed="false">
      <c r="A69" s="33" t="s">
        <v>1167</v>
      </c>
      <c r="B69" s="34" t="s">
        <v>969</v>
      </c>
      <c r="C69" s="34"/>
      <c r="D69" s="16" t="s">
        <v>1168</v>
      </c>
      <c r="E69" s="16" t="s">
        <v>330</v>
      </c>
      <c r="F69" s="16" t="s">
        <v>1169</v>
      </c>
    </row>
    <row r="70" customFormat="false" ht="57" hidden="false" customHeight="true" outlineLevel="0" collapsed="false">
      <c r="A70" s="33" t="s">
        <v>1170</v>
      </c>
      <c r="B70" s="34" t="s">
        <v>969</v>
      </c>
      <c r="C70" s="34"/>
      <c r="D70" s="16" t="s">
        <v>1171</v>
      </c>
      <c r="E70" s="16" t="s">
        <v>330</v>
      </c>
      <c r="F70" s="16" t="s">
        <v>1172</v>
      </c>
    </row>
    <row r="71" customFormat="false" ht="45.75" hidden="false" customHeight="true" outlineLevel="0" collapsed="false">
      <c r="A71" s="33" t="s">
        <v>1173</v>
      </c>
      <c r="B71" s="34" t="s">
        <v>969</v>
      </c>
      <c r="C71" s="34"/>
      <c r="D71" s="16" t="s">
        <v>1174</v>
      </c>
      <c r="E71" s="16" t="s">
        <v>330</v>
      </c>
      <c r="F71" s="16" t="s">
        <v>1175</v>
      </c>
    </row>
    <row r="72" customFormat="false" ht="79.5" hidden="false" customHeight="true" outlineLevel="0" collapsed="false">
      <c r="A72" s="33" t="s">
        <v>1176</v>
      </c>
      <c r="B72" s="34" t="s">
        <v>969</v>
      </c>
      <c r="C72" s="34"/>
      <c r="D72" s="16" t="s">
        <v>1177</v>
      </c>
      <c r="E72" s="16" t="s">
        <v>327</v>
      </c>
      <c r="F72" s="16" t="s">
        <v>1178</v>
      </c>
    </row>
    <row r="73" customFormat="false" ht="68.25" hidden="false" customHeight="true" outlineLevel="0" collapsed="false">
      <c r="A73" s="33" t="s">
        <v>1179</v>
      </c>
      <c r="B73" s="34" t="s">
        <v>969</v>
      </c>
      <c r="C73" s="34"/>
      <c r="D73" s="16" t="s">
        <v>1180</v>
      </c>
      <c r="E73" s="16" t="s">
        <v>339</v>
      </c>
      <c r="F73" s="16" t="s">
        <v>1181</v>
      </c>
    </row>
    <row r="74" customFormat="false" ht="68.25" hidden="false" customHeight="true" outlineLevel="0" collapsed="false">
      <c r="A74" s="33" t="s">
        <v>1182</v>
      </c>
      <c r="B74" s="34" t="s">
        <v>969</v>
      </c>
      <c r="C74" s="34"/>
      <c r="D74" s="16" t="s">
        <v>1183</v>
      </c>
      <c r="E74" s="16" t="s">
        <v>339</v>
      </c>
      <c r="F74" s="16" t="s">
        <v>1184</v>
      </c>
    </row>
    <row r="75" customFormat="false" ht="57" hidden="false" customHeight="true" outlineLevel="0" collapsed="false">
      <c r="A75" s="33" t="s">
        <v>1185</v>
      </c>
      <c r="B75" s="34" t="s">
        <v>969</v>
      </c>
      <c r="C75" s="34"/>
      <c r="D75" s="16" t="s">
        <v>1186</v>
      </c>
      <c r="E75" s="16" t="s">
        <v>339</v>
      </c>
      <c r="F75" s="16" t="s">
        <v>1187</v>
      </c>
    </row>
    <row r="76" customFormat="false" ht="45.75" hidden="false" customHeight="true" outlineLevel="0" collapsed="false">
      <c r="A76" s="33" t="s">
        <v>1188</v>
      </c>
      <c r="B76" s="34" t="s">
        <v>969</v>
      </c>
      <c r="C76" s="34"/>
      <c r="D76" s="16" t="s">
        <v>1189</v>
      </c>
      <c r="E76" s="16" t="s">
        <v>339</v>
      </c>
      <c r="F76" s="16" t="s">
        <v>1190</v>
      </c>
    </row>
    <row r="77" customFormat="false" ht="68.25" hidden="false" customHeight="true" outlineLevel="0" collapsed="false">
      <c r="A77" s="33" t="s">
        <v>1191</v>
      </c>
      <c r="B77" s="34" t="s">
        <v>969</v>
      </c>
      <c r="C77" s="34"/>
      <c r="D77" s="16" t="s">
        <v>1192</v>
      </c>
      <c r="E77" s="16" t="s">
        <v>339</v>
      </c>
      <c r="F77" s="16" t="s">
        <v>1193</v>
      </c>
    </row>
    <row r="78" customFormat="false" ht="57" hidden="false" customHeight="true" outlineLevel="0" collapsed="false">
      <c r="A78" s="33" t="s">
        <v>1194</v>
      </c>
      <c r="B78" s="34" t="s">
        <v>969</v>
      </c>
      <c r="C78" s="34"/>
      <c r="D78" s="16" t="s">
        <v>1195</v>
      </c>
      <c r="E78" s="16" t="s">
        <v>336</v>
      </c>
      <c r="F78" s="16" t="s">
        <v>1196</v>
      </c>
    </row>
    <row r="79" customFormat="false" ht="57" hidden="false" customHeight="true" outlineLevel="0" collapsed="false">
      <c r="A79" s="33" t="s">
        <v>1197</v>
      </c>
      <c r="B79" s="34" t="s">
        <v>969</v>
      </c>
      <c r="C79" s="34"/>
      <c r="D79" s="16" t="s">
        <v>1198</v>
      </c>
      <c r="E79" s="16" t="s">
        <v>336</v>
      </c>
      <c r="F79" s="16" t="s">
        <v>1199</v>
      </c>
    </row>
    <row r="80" customFormat="false" ht="68.25" hidden="false" customHeight="true" outlineLevel="0" collapsed="false">
      <c r="A80" s="33" t="s">
        <v>1200</v>
      </c>
      <c r="B80" s="34" t="s">
        <v>969</v>
      </c>
      <c r="C80" s="34"/>
      <c r="D80" s="16" t="s">
        <v>1201</v>
      </c>
      <c r="E80" s="16" t="s">
        <v>336</v>
      </c>
      <c r="F80" s="16" t="s">
        <v>1202</v>
      </c>
    </row>
    <row r="81" customFormat="false" ht="68.25" hidden="false" customHeight="true" outlineLevel="0" collapsed="false">
      <c r="A81" s="33" t="s">
        <v>1203</v>
      </c>
      <c r="B81" s="34" t="s">
        <v>969</v>
      </c>
      <c r="C81" s="34"/>
      <c r="D81" s="16" t="s">
        <v>1204</v>
      </c>
      <c r="E81" s="16" t="s">
        <v>333</v>
      </c>
      <c r="F81" s="16" t="s">
        <v>1205</v>
      </c>
    </row>
    <row r="82" customFormat="false" ht="45.75" hidden="false" customHeight="true" outlineLevel="0" collapsed="false">
      <c r="A82" s="33" t="s">
        <v>1206</v>
      </c>
      <c r="B82" s="34" t="s">
        <v>969</v>
      </c>
      <c r="C82" s="34"/>
      <c r="D82" s="16" t="s">
        <v>1207</v>
      </c>
      <c r="E82" s="16" t="s">
        <v>333</v>
      </c>
      <c r="F82" s="16" t="s">
        <v>1208</v>
      </c>
    </row>
    <row r="83" customFormat="false" ht="68.25" hidden="false" customHeight="true" outlineLevel="0" collapsed="false">
      <c r="A83" s="33" t="s">
        <v>1209</v>
      </c>
      <c r="B83" s="34" t="s">
        <v>969</v>
      </c>
      <c r="C83" s="34"/>
      <c r="D83" s="16" t="s">
        <v>1210</v>
      </c>
      <c r="E83" s="16" t="s">
        <v>333</v>
      </c>
      <c r="F83" s="16" t="s">
        <v>1211</v>
      </c>
    </row>
    <row r="84" customFormat="false" ht="57" hidden="false" customHeight="true" outlineLevel="0" collapsed="false">
      <c r="A84" s="33" t="s">
        <v>1212</v>
      </c>
      <c r="B84" s="34" t="s">
        <v>969</v>
      </c>
      <c r="C84" s="34"/>
      <c r="D84" s="16" t="s">
        <v>1213</v>
      </c>
      <c r="E84" s="16" t="s">
        <v>321</v>
      </c>
      <c r="F84" s="16" t="s">
        <v>1214</v>
      </c>
    </row>
    <row r="85" customFormat="false" ht="57" hidden="false" customHeight="true" outlineLevel="0" collapsed="false">
      <c r="A85" s="33" t="s">
        <v>1215</v>
      </c>
      <c r="B85" s="34" t="s">
        <v>969</v>
      </c>
      <c r="C85" s="34"/>
      <c r="D85" s="16" t="s">
        <v>1216</v>
      </c>
      <c r="E85" s="16" t="s">
        <v>321</v>
      </c>
      <c r="F85" s="16" t="s">
        <v>1217</v>
      </c>
    </row>
    <row r="86" customFormat="false" ht="57" hidden="false" customHeight="true" outlineLevel="0" collapsed="false">
      <c r="A86" s="33" t="s">
        <v>1218</v>
      </c>
      <c r="B86" s="34" t="s">
        <v>969</v>
      </c>
      <c r="C86" s="34"/>
      <c r="D86" s="16" t="s">
        <v>1219</v>
      </c>
      <c r="E86" s="16" t="s">
        <v>324</v>
      </c>
      <c r="F86" s="16" t="s">
        <v>1220</v>
      </c>
    </row>
    <row r="87" customFormat="false" ht="68.25" hidden="false" customHeight="true" outlineLevel="0" collapsed="false">
      <c r="A87" s="33" t="s">
        <v>1221</v>
      </c>
      <c r="B87" s="34" t="s">
        <v>969</v>
      </c>
      <c r="C87" s="34"/>
      <c r="D87" s="16" t="s">
        <v>1222</v>
      </c>
      <c r="E87" s="16" t="s">
        <v>324</v>
      </c>
      <c r="F87" s="16" t="s">
        <v>1223</v>
      </c>
    </row>
    <row r="88" customFormat="false" ht="34.5" hidden="false" customHeight="true" outlineLevel="0" collapsed="false">
      <c r="A88" s="33" t="s">
        <v>1224</v>
      </c>
      <c r="B88" s="34" t="s">
        <v>969</v>
      </c>
      <c r="C88" s="34"/>
      <c r="D88" s="16" t="s">
        <v>1225</v>
      </c>
      <c r="E88" s="16" t="s">
        <v>324</v>
      </c>
      <c r="F88" s="16" t="s">
        <v>1226</v>
      </c>
    </row>
    <row r="89" customFormat="false" ht="57" hidden="false" customHeight="true" outlineLevel="0" collapsed="false">
      <c r="A89" s="33" t="s">
        <v>1227</v>
      </c>
      <c r="B89" s="34" t="s">
        <v>969</v>
      </c>
      <c r="C89" s="34"/>
      <c r="D89" s="16" t="s">
        <v>1228</v>
      </c>
      <c r="E89" s="16" t="s">
        <v>324</v>
      </c>
      <c r="F89" s="16" t="s">
        <v>1229</v>
      </c>
    </row>
    <row r="90" customFormat="false" ht="45.75" hidden="false" customHeight="true" outlineLevel="0" collapsed="false">
      <c r="A90" s="33" t="s">
        <v>1230</v>
      </c>
      <c r="B90" s="34" t="s">
        <v>969</v>
      </c>
      <c r="C90" s="34"/>
      <c r="D90" s="16" t="s">
        <v>1231</v>
      </c>
      <c r="E90" s="16" t="s">
        <v>318</v>
      </c>
      <c r="F90" s="16" t="s">
        <v>1232</v>
      </c>
    </row>
    <row r="91" customFormat="false" ht="45.75" hidden="false" customHeight="true" outlineLevel="0" collapsed="false">
      <c r="A91" s="33" t="s">
        <v>1233</v>
      </c>
      <c r="B91" s="34" t="s">
        <v>969</v>
      </c>
      <c r="C91" s="34"/>
      <c r="D91" s="16" t="s">
        <v>1234</v>
      </c>
      <c r="E91" s="16" t="s">
        <v>318</v>
      </c>
      <c r="F91" s="16" t="s">
        <v>1235</v>
      </c>
    </row>
    <row r="92" customFormat="false" ht="34.5" hidden="false" customHeight="true" outlineLevel="0" collapsed="false">
      <c r="A92" s="33" t="s">
        <v>1236</v>
      </c>
      <c r="B92" s="34" t="s">
        <v>969</v>
      </c>
      <c r="C92" s="34"/>
      <c r="D92" s="16" t="s">
        <v>1237</v>
      </c>
      <c r="E92" s="16" t="s">
        <v>318</v>
      </c>
      <c r="F92" s="16" t="s">
        <v>1238</v>
      </c>
    </row>
    <row r="93" customFormat="false" ht="45.75" hidden="false" customHeight="true" outlineLevel="0" collapsed="false">
      <c r="A93" s="33" t="s">
        <v>1239</v>
      </c>
      <c r="B93" s="34" t="s">
        <v>969</v>
      </c>
      <c r="C93" s="34"/>
      <c r="D93" s="16" t="s">
        <v>1240</v>
      </c>
      <c r="E93" s="16" t="s">
        <v>318</v>
      </c>
      <c r="F93" s="16" t="s">
        <v>1241</v>
      </c>
    </row>
    <row r="94" customFormat="false" ht="45.75" hidden="false" customHeight="true" outlineLevel="0" collapsed="false">
      <c r="A94" s="33" t="s">
        <v>1242</v>
      </c>
      <c r="B94" s="34" t="s">
        <v>969</v>
      </c>
      <c r="C94" s="34"/>
      <c r="D94" s="16" t="s">
        <v>1243</v>
      </c>
      <c r="E94" s="16" t="s">
        <v>302</v>
      </c>
      <c r="F94" s="16" t="s">
        <v>1244</v>
      </c>
    </row>
    <row r="95" customFormat="false" ht="57" hidden="false" customHeight="true" outlineLevel="0" collapsed="false">
      <c r="A95" s="33" t="s">
        <v>1245</v>
      </c>
      <c r="B95" s="34" t="s">
        <v>969</v>
      </c>
      <c r="C95" s="34"/>
      <c r="D95" s="16" t="s">
        <v>1246</v>
      </c>
      <c r="E95" s="16" t="s">
        <v>302</v>
      </c>
      <c r="F95" s="16" t="s">
        <v>1247</v>
      </c>
    </row>
    <row r="96" customFormat="false" ht="57" hidden="false" customHeight="true" outlineLevel="0" collapsed="false">
      <c r="A96" s="33" t="s">
        <v>1248</v>
      </c>
      <c r="B96" s="34" t="s">
        <v>969</v>
      </c>
      <c r="C96" s="34"/>
      <c r="D96" s="16" t="s">
        <v>1249</v>
      </c>
      <c r="E96" s="16" t="s">
        <v>1250</v>
      </c>
      <c r="F96" s="16" t="s">
        <v>1251</v>
      </c>
    </row>
    <row r="97" customFormat="false" ht="57" hidden="false" customHeight="true" outlineLevel="0" collapsed="false">
      <c r="A97" s="33" t="s">
        <v>1252</v>
      </c>
      <c r="B97" s="34" t="s">
        <v>969</v>
      </c>
      <c r="C97" s="34"/>
      <c r="D97" s="16" t="s">
        <v>1253</v>
      </c>
      <c r="E97" s="16" t="s">
        <v>1250</v>
      </c>
      <c r="F97" s="16" t="s">
        <v>1254</v>
      </c>
    </row>
    <row r="98" customFormat="false" ht="34.5" hidden="false" customHeight="true" outlineLevel="0" collapsed="false">
      <c r="A98" s="33" t="s">
        <v>1255</v>
      </c>
      <c r="B98" s="34" t="s">
        <v>969</v>
      </c>
      <c r="C98" s="34"/>
      <c r="D98" s="16" t="s">
        <v>1256</v>
      </c>
      <c r="E98" s="16" t="s">
        <v>1250</v>
      </c>
      <c r="F98" s="16" t="s">
        <v>1257</v>
      </c>
    </row>
    <row r="99" customFormat="false" ht="57" hidden="false" customHeight="true" outlineLevel="0" collapsed="false">
      <c r="A99" s="33" t="s">
        <v>1258</v>
      </c>
      <c r="B99" s="34" t="s">
        <v>969</v>
      </c>
      <c r="C99" s="34"/>
      <c r="D99" s="16" t="s">
        <v>1259</v>
      </c>
      <c r="E99" s="16" t="s">
        <v>299</v>
      </c>
      <c r="F99" s="16" t="s">
        <v>1260</v>
      </c>
    </row>
    <row r="100" customFormat="false" ht="34.5" hidden="false" customHeight="true" outlineLevel="0" collapsed="false">
      <c r="A100" s="33" t="s">
        <v>1261</v>
      </c>
      <c r="B100" s="34" t="s">
        <v>969</v>
      </c>
      <c r="C100" s="34"/>
      <c r="D100" s="16" t="s">
        <v>1262</v>
      </c>
      <c r="E100" s="16" t="s">
        <v>299</v>
      </c>
      <c r="F100" s="16" t="s">
        <v>1263</v>
      </c>
    </row>
    <row r="101" customFormat="false" ht="34.5" hidden="false" customHeight="true" outlineLevel="0" collapsed="false">
      <c r="A101" s="33" t="s">
        <v>1264</v>
      </c>
      <c r="B101" s="34" t="s">
        <v>969</v>
      </c>
      <c r="C101" s="34"/>
      <c r="D101" s="16" t="s">
        <v>1265</v>
      </c>
      <c r="E101" s="16" t="s">
        <v>299</v>
      </c>
      <c r="F101" s="16" t="s">
        <v>1266</v>
      </c>
    </row>
    <row r="102" customFormat="false" ht="57" hidden="false" customHeight="true" outlineLevel="0" collapsed="false">
      <c r="A102" s="33" t="s">
        <v>1267</v>
      </c>
      <c r="B102" s="34" t="s">
        <v>969</v>
      </c>
      <c r="C102" s="34"/>
      <c r="D102" s="16" t="s">
        <v>1268</v>
      </c>
      <c r="E102" s="16" t="s">
        <v>299</v>
      </c>
      <c r="F102" s="16" t="s">
        <v>1269</v>
      </c>
    </row>
    <row r="103" customFormat="false" ht="68.25" hidden="false" customHeight="true" outlineLevel="0" collapsed="false">
      <c r="A103" s="33" t="s">
        <v>1270</v>
      </c>
      <c r="B103" s="34" t="s">
        <v>969</v>
      </c>
      <c r="C103" s="34"/>
      <c r="D103" s="16" t="s">
        <v>1271</v>
      </c>
      <c r="E103" s="16" t="s">
        <v>299</v>
      </c>
      <c r="F103" s="16" t="s">
        <v>1272</v>
      </c>
    </row>
    <row r="104" customFormat="false" ht="34.5" hidden="false" customHeight="true" outlineLevel="0" collapsed="false">
      <c r="A104" s="33" t="s">
        <v>1273</v>
      </c>
      <c r="B104" s="34" t="s">
        <v>969</v>
      </c>
      <c r="C104" s="34"/>
      <c r="D104" s="16" t="s">
        <v>1274</v>
      </c>
      <c r="E104" s="16" t="s">
        <v>1275</v>
      </c>
      <c r="F104" s="16" t="s">
        <v>1276</v>
      </c>
    </row>
    <row r="105" customFormat="false" ht="57" hidden="false" customHeight="true" outlineLevel="0" collapsed="false">
      <c r="A105" s="33" t="s">
        <v>1277</v>
      </c>
      <c r="B105" s="34" t="s">
        <v>969</v>
      </c>
      <c r="C105" s="34"/>
      <c r="D105" s="16" t="s">
        <v>1278</v>
      </c>
      <c r="E105" s="16" t="s">
        <v>1275</v>
      </c>
      <c r="F105" s="16" t="s">
        <v>1279</v>
      </c>
    </row>
    <row r="106" customFormat="false" ht="34.5" hidden="false" customHeight="true" outlineLevel="0" collapsed="false">
      <c r="A106" s="33" t="s">
        <v>1280</v>
      </c>
      <c r="B106" s="34" t="s">
        <v>969</v>
      </c>
      <c r="C106" s="34"/>
      <c r="D106" s="16" t="s">
        <v>1281</v>
      </c>
      <c r="E106" s="16" t="s">
        <v>1275</v>
      </c>
      <c r="F106" s="16" t="s">
        <v>1282</v>
      </c>
    </row>
    <row r="107" customFormat="false" ht="45.75" hidden="false" customHeight="true" outlineLevel="0" collapsed="false">
      <c r="A107" s="33" t="s">
        <v>1283</v>
      </c>
      <c r="B107" s="34" t="s">
        <v>969</v>
      </c>
      <c r="C107" s="34"/>
      <c r="D107" s="16" t="s">
        <v>1284</v>
      </c>
      <c r="E107" s="16" t="s">
        <v>180</v>
      </c>
      <c r="F107" s="16" t="s">
        <v>1285</v>
      </c>
    </row>
    <row r="108" customFormat="false" ht="57" hidden="false" customHeight="true" outlineLevel="0" collapsed="false">
      <c r="A108" s="33" t="s">
        <v>1286</v>
      </c>
      <c r="B108" s="34" t="s">
        <v>969</v>
      </c>
      <c r="C108" s="34"/>
      <c r="D108" s="16" t="s">
        <v>1287</v>
      </c>
      <c r="E108" s="16" t="s">
        <v>1275</v>
      </c>
      <c r="F108" s="16" t="s">
        <v>1288</v>
      </c>
    </row>
    <row r="109" customFormat="false" ht="45.75" hidden="false" customHeight="true" outlineLevel="0" collapsed="false">
      <c r="A109" s="33" t="s">
        <v>1289</v>
      </c>
      <c r="B109" s="34" t="s">
        <v>969</v>
      </c>
      <c r="C109" s="34"/>
      <c r="D109" s="16" t="s">
        <v>1290</v>
      </c>
      <c r="E109" s="16" t="s">
        <v>1275</v>
      </c>
      <c r="F109" s="16" t="s">
        <v>1291</v>
      </c>
    </row>
    <row r="110" customFormat="false" ht="34.5" hidden="false" customHeight="true" outlineLevel="0" collapsed="false">
      <c r="A110" s="33" t="s">
        <v>1292</v>
      </c>
      <c r="B110" s="34" t="s">
        <v>969</v>
      </c>
      <c r="C110" s="34"/>
      <c r="D110" s="16" t="s">
        <v>1293</v>
      </c>
      <c r="E110" s="16" t="s">
        <v>225</v>
      </c>
      <c r="F110" s="16" t="s">
        <v>1294</v>
      </c>
    </row>
    <row r="111" customFormat="false" ht="57" hidden="false" customHeight="true" outlineLevel="0" collapsed="false">
      <c r="A111" s="33" t="s">
        <v>1295</v>
      </c>
      <c r="B111" s="34" t="s">
        <v>969</v>
      </c>
      <c r="C111" s="34"/>
      <c r="D111" s="16" t="s">
        <v>1296</v>
      </c>
      <c r="E111" s="16" t="s">
        <v>225</v>
      </c>
      <c r="F111" s="16" t="s">
        <v>1297</v>
      </c>
    </row>
    <row r="112" customFormat="false" ht="45.75" hidden="false" customHeight="true" outlineLevel="0" collapsed="false">
      <c r="A112" s="33" t="s">
        <v>1298</v>
      </c>
      <c r="B112" s="34" t="s">
        <v>969</v>
      </c>
      <c r="C112" s="34"/>
      <c r="D112" s="16" t="s">
        <v>1299</v>
      </c>
      <c r="E112" s="16" t="s">
        <v>225</v>
      </c>
      <c r="F112" s="16" t="s">
        <v>1300</v>
      </c>
    </row>
    <row r="113" customFormat="false" ht="68.25" hidden="false" customHeight="true" outlineLevel="0" collapsed="false">
      <c r="A113" s="33" t="s">
        <v>1301</v>
      </c>
      <c r="B113" s="34" t="s">
        <v>969</v>
      </c>
      <c r="C113" s="34"/>
      <c r="D113" s="16" t="s">
        <v>1302</v>
      </c>
      <c r="E113" s="16" t="s">
        <v>225</v>
      </c>
      <c r="F113" s="16" t="s">
        <v>1303</v>
      </c>
    </row>
    <row r="114" customFormat="false" ht="57" hidden="false" customHeight="true" outlineLevel="0" collapsed="false">
      <c r="A114" s="33" t="s">
        <v>1304</v>
      </c>
      <c r="B114" s="34" t="s">
        <v>969</v>
      </c>
      <c r="C114" s="34"/>
      <c r="D114" s="16" t="s">
        <v>1305</v>
      </c>
      <c r="E114" s="16" t="s">
        <v>213</v>
      </c>
      <c r="F114" s="16" t="s">
        <v>1306</v>
      </c>
    </row>
    <row r="115" customFormat="false" ht="15" hidden="false" customHeight="true" outlineLevel="0" collapsed="false">
      <c r="A115" s="33" t="s">
        <v>1307</v>
      </c>
      <c r="B115" s="34" t="s">
        <v>969</v>
      </c>
      <c r="C115" s="34"/>
      <c r="D115" s="16" t="s">
        <v>1308</v>
      </c>
      <c r="E115" s="16" t="s">
        <v>213</v>
      </c>
      <c r="F115" s="16" t="s">
        <v>1309</v>
      </c>
    </row>
    <row r="116" customFormat="false" ht="15" hidden="false" customHeight="true" outlineLevel="0" collapsed="false">
      <c r="A116" s="33" t="s">
        <v>1310</v>
      </c>
      <c r="B116" s="34" t="s">
        <v>969</v>
      </c>
      <c r="C116" s="34"/>
      <c r="D116" s="16" t="s">
        <v>1311</v>
      </c>
      <c r="E116" s="16" t="s">
        <v>213</v>
      </c>
      <c r="F116" s="16" t="s">
        <v>1312</v>
      </c>
    </row>
    <row r="117" customFormat="false" ht="15" hidden="false" customHeight="true" outlineLevel="0" collapsed="false">
      <c r="A117" s="33" t="s">
        <v>1313</v>
      </c>
      <c r="B117" s="34" t="s">
        <v>969</v>
      </c>
      <c r="C117" s="34"/>
      <c r="D117" s="16" t="s">
        <v>1314</v>
      </c>
      <c r="E117" s="16" t="s">
        <v>296</v>
      </c>
      <c r="F117" s="16" t="s">
        <v>1315</v>
      </c>
    </row>
    <row r="118" customFormat="false" ht="15" hidden="false" customHeight="true" outlineLevel="0" collapsed="false">
      <c r="A118" s="33" t="s">
        <v>1316</v>
      </c>
      <c r="B118" s="34" t="s">
        <v>969</v>
      </c>
      <c r="C118" s="34"/>
      <c r="D118" s="16" t="s">
        <v>1317</v>
      </c>
      <c r="E118" s="16" t="s">
        <v>296</v>
      </c>
      <c r="F118" s="16" t="s">
        <v>1318</v>
      </c>
    </row>
    <row r="119" customFormat="false" ht="15" hidden="false" customHeight="true" outlineLevel="0" collapsed="false">
      <c r="A119" s="33" t="s">
        <v>1319</v>
      </c>
      <c r="B119" s="34" t="s">
        <v>969</v>
      </c>
      <c r="C119" s="34"/>
      <c r="D119" s="16" t="s">
        <v>1320</v>
      </c>
      <c r="E119" s="16" t="s">
        <v>296</v>
      </c>
      <c r="F119" s="16" t="s">
        <v>1321</v>
      </c>
    </row>
    <row r="120" customFormat="false" ht="15" hidden="false" customHeight="true" outlineLevel="0" collapsed="false">
      <c r="A120" s="33" t="s">
        <v>1322</v>
      </c>
      <c r="B120" s="34" t="s">
        <v>969</v>
      </c>
      <c r="C120" s="34"/>
      <c r="D120" s="16" t="s">
        <v>1323</v>
      </c>
      <c r="E120" s="16" t="s">
        <v>293</v>
      </c>
      <c r="F120" s="16" t="s">
        <v>1324</v>
      </c>
    </row>
    <row r="121" customFormat="false" ht="15" hidden="false" customHeight="true" outlineLevel="0" collapsed="false">
      <c r="A121" s="33" t="s">
        <v>1325</v>
      </c>
      <c r="B121" s="34" t="s">
        <v>969</v>
      </c>
      <c r="C121" s="34"/>
      <c r="D121" s="16" t="s">
        <v>1326</v>
      </c>
      <c r="E121" s="16" t="s">
        <v>293</v>
      </c>
      <c r="F121" s="16" t="s">
        <v>1327</v>
      </c>
    </row>
    <row r="122" customFormat="false" ht="15" hidden="false" customHeight="true" outlineLevel="0" collapsed="false">
      <c r="A122" s="33" t="s">
        <v>1328</v>
      </c>
      <c r="B122" s="34" t="s">
        <v>969</v>
      </c>
      <c r="C122" s="34"/>
      <c r="D122" s="16" t="s">
        <v>1329</v>
      </c>
      <c r="E122" s="16" t="s">
        <v>293</v>
      </c>
      <c r="F122" s="16" t="s">
        <v>1330</v>
      </c>
    </row>
    <row r="123" customFormat="false" ht="15" hidden="false" customHeight="true" outlineLevel="0" collapsed="false">
      <c r="A123" s="33" t="s">
        <v>1331</v>
      </c>
      <c r="B123" s="34" t="s">
        <v>969</v>
      </c>
      <c r="C123" s="34"/>
      <c r="D123" s="16" t="s">
        <v>1332</v>
      </c>
      <c r="E123" s="16" t="s">
        <v>293</v>
      </c>
      <c r="F123" s="16" t="s">
        <v>1333</v>
      </c>
    </row>
    <row r="124" customFormat="false" ht="15" hidden="false" customHeight="true" outlineLevel="0" collapsed="false">
      <c r="A124" s="33" t="s">
        <v>1334</v>
      </c>
      <c r="B124" s="34" t="s">
        <v>969</v>
      </c>
      <c r="C124" s="34"/>
      <c r="D124" s="16" t="s">
        <v>1335</v>
      </c>
      <c r="E124" s="16" t="s">
        <v>290</v>
      </c>
      <c r="F124" s="16" t="s">
        <v>1336</v>
      </c>
    </row>
    <row r="125" customFormat="false" ht="15" hidden="false" customHeight="true" outlineLevel="0" collapsed="false">
      <c r="A125" s="33" t="s">
        <v>1337</v>
      </c>
      <c r="B125" s="34" t="s">
        <v>969</v>
      </c>
      <c r="C125" s="34"/>
      <c r="D125" s="16" t="s">
        <v>1338</v>
      </c>
      <c r="E125" s="16" t="s">
        <v>290</v>
      </c>
      <c r="F125" s="16" t="s">
        <v>1339</v>
      </c>
    </row>
    <row r="126" customFormat="false" ht="15" hidden="false" customHeight="true" outlineLevel="0" collapsed="false">
      <c r="A126" s="33" t="s">
        <v>1340</v>
      </c>
      <c r="B126" s="34" t="s">
        <v>969</v>
      </c>
      <c r="C126" s="34"/>
      <c r="D126" s="16" t="s">
        <v>1341</v>
      </c>
      <c r="E126" s="16" t="s">
        <v>290</v>
      </c>
      <c r="F126" s="16" t="s">
        <v>1342</v>
      </c>
    </row>
    <row r="127" customFormat="false" ht="15" hidden="false" customHeight="true" outlineLevel="0" collapsed="false">
      <c r="A127" s="33" t="s">
        <v>1343</v>
      </c>
      <c r="B127" s="34" t="s">
        <v>969</v>
      </c>
      <c r="C127" s="34"/>
      <c r="D127" s="16" t="s">
        <v>1344</v>
      </c>
      <c r="E127" s="16" t="s">
        <v>290</v>
      </c>
      <c r="F127" s="16" t="s">
        <v>1345</v>
      </c>
    </row>
    <row r="128" customFormat="false" ht="23.25" hidden="false" customHeight="true" outlineLevel="0" collapsed="false">
      <c r="A128" s="33" t="s">
        <v>1346</v>
      </c>
      <c r="B128" s="34" t="s">
        <v>969</v>
      </c>
      <c r="C128" s="34"/>
      <c r="D128" s="16" t="s">
        <v>1347</v>
      </c>
      <c r="E128" s="16" t="s">
        <v>287</v>
      </c>
      <c r="F128" s="16" t="s">
        <v>1348</v>
      </c>
    </row>
    <row r="129" customFormat="false" ht="15" hidden="false" customHeight="true" outlineLevel="0" collapsed="false">
      <c r="A129" s="33" t="s">
        <v>1349</v>
      </c>
      <c r="B129" s="34" t="s">
        <v>969</v>
      </c>
      <c r="C129" s="34"/>
      <c r="D129" s="16" t="s">
        <v>1350</v>
      </c>
      <c r="E129" s="16" t="s">
        <v>287</v>
      </c>
      <c r="F129" s="16" t="s">
        <v>1351</v>
      </c>
    </row>
    <row r="130" customFormat="false" ht="15" hidden="false" customHeight="true" outlineLevel="0" collapsed="false">
      <c r="A130" s="33" t="s">
        <v>1352</v>
      </c>
      <c r="B130" s="34" t="s">
        <v>969</v>
      </c>
      <c r="C130" s="34"/>
      <c r="D130" s="16" t="s">
        <v>1353</v>
      </c>
      <c r="E130" s="16" t="s">
        <v>287</v>
      </c>
      <c r="F130" s="16" t="s">
        <v>1354</v>
      </c>
    </row>
    <row r="131" customFormat="false" ht="15" hidden="false" customHeight="true" outlineLevel="0" collapsed="false">
      <c r="A131" s="33" t="s">
        <v>1355</v>
      </c>
      <c r="B131" s="34" t="s">
        <v>969</v>
      </c>
      <c r="C131" s="34"/>
      <c r="D131" s="16" t="s">
        <v>1356</v>
      </c>
      <c r="E131" s="16" t="s">
        <v>284</v>
      </c>
      <c r="F131" s="16" t="s">
        <v>1357</v>
      </c>
    </row>
    <row r="132" customFormat="false" ht="23.25" hidden="false" customHeight="true" outlineLevel="0" collapsed="false">
      <c r="A132" s="33" t="s">
        <v>1358</v>
      </c>
      <c r="B132" s="34" t="s">
        <v>969</v>
      </c>
      <c r="C132" s="34"/>
      <c r="D132" s="16" t="s">
        <v>1359</v>
      </c>
      <c r="E132" s="16" t="s">
        <v>284</v>
      </c>
      <c r="F132" s="16" t="s">
        <v>1360</v>
      </c>
    </row>
    <row r="133" customFormat="false" ht="23.25" hidden="false" customHeight="true" outlineLevel="0" collapsed="false">
      <c r="A133" s="33" t="s">
        <v>1361</v>
      </c>
      <c r="B133" s="34" t="s">
        <v>969</v>
      </c>
      <c r="C133" s="34"/>
      <c r="D133" s="16" t="s">
        <v>1362</v>
      </c>
      <c r="E133" s="16" t="s">
        <v>284</v>
      </c>
      <c r="F133" s="16" t="s">
        <v>1363</v>
      </c>
    </row>
    <row r="134" customFormat="false" ht="23.25" hidden="false" customHeight="true" outlineLevel="0" collapsed="false">
      <c r="A134" s="33" t="s">
        <v>1364</v>
      </c>
      <c r="B134" s="34" t="s">
        <v>969</v>
      </c>
      <c r="C134" s="34"/>
      <c r="D134" s="16" t="s">
        <v>1365</v>
      </c>
      <c r="E134" s="16" t="s">
        <v>207</v>
      </c>
      <c r="F134" s="16" t="s">
        <v>1366</v>
      </c>
    </row>
    <row r="135" customFormat="false" ht="23.25" hidden="false" customHeight="true" outlineLevel="0" collapsed="false">
      <c r="A135" s="33" t="s">
        <v>1367</v>
      </c>
      <c r="B135" s="34" t="s">
        <v>969</v>
      </c>
      <c r="C135" s="34"/>
      <c r="D135" s="16" t="s">
        <v>1368</v>
      </c>
      <c r="E135" s="16" t="s">
        <v>201</v>
      </c>
      <c r="F135" s="16" t="s">
        <v>1369</v>
      </c>
    </row>
    <row r="136" customFormat="false" ht="23.25" hidden="false" customHeight="true" outlineLevel="0" collapsed="false">
      <c r="A136" s="33" t="s">
        <v>1370</v>
      </c>
      <c r="B136" s="34" t="s">
        <v>969</v>
      </c>
      <c r="C136" s="34"/>
      <c r="D136" s="16" t="s">
        <v>1371</v>
      </c>
      <c r="E136" s="16"/>
      <c r="F136" s="16"/>
    </row>
    <row r="137" customFormat="false" ht="23.25" hidden="false" customHeight="true" outlineLevel="0" collapsed="false">
      <c r="A137" s="33" t="s">
        <v>1372</v>
      </c>
      <c r="B137" s="34" t="s">
        <v>969</v>
      </c>
      <c r="C137" s="34"/>
      <c r="D137" s="16" t="s">
        <v>1373</v>
      </c>
      <c r="E137" s="16"/>
      <c r="F137" s="16"/>
    </row>
    <row r="138" customFormat="false" ht="34.5" hidden="false" customHeight="true" outlineLevel="0" collapsed="false">
      <c r="A138" s="33" t="s">
        <v>1374</v>
      </c>
      <c r="B138" s="34" t="s">
        <v>969</v>
      </c>
      <c r="C138" s="34"/>
      <c r="D138" s="16" t="s">
        <v>1375</v>
      </c>
      <c r="E138" s="16"/>
      <c r="F138" s="16"/>
    </row>
    <row r="139" customFormat="false" ht="23.25" hidden="false" customHeight="true" outlineLevel="0" collapsed="false">
      <c r="A139" s="33" t="s">
        <v>1376</v>
      </c>
      <c r="B139" s="34" t="s">
        <v>969</v>
      </c>
      <c r="C139" s="34"/>
      <c r="D139" s="16" t="s">
        <v>1377</v>
      </c>
      <c r="E139" s="16"/>
      <c r="F139" s="16"/>
    </row>
    <row r="140" customFormat="false" ht="23.25" hidden="false" customHeight="true" outlineLevel="0" collapsed="false">
      <c r="A140" s="33" t="s">
        <v>1378</v>
      </c>
      <c r="B140" s="34" t="s">
        <v>969</v>
      </c>
      <c r="C140" s="34"/>
      <c r="D140" s="16" t="s">
        <v>1379</v>
      </c>
      <c r="E140" s="16"/>
      <c r="F140" s="16"/>
    </row>
    <row r="141" customFormat="false" ht="34.5" hidden="false" customHeight="true" outlineLevel="0" collapsed="false">
      <c r="A141" s="33" t="s">
        <v>1380</v>
      </c>
      <c r="B141" s="34" t="s">
        <v>969</v>
      </c>
      <c r="C141" s="34"/>
      <c r="D141" s="16" t="s">
        <v>1381</v>
      </c>
      <c r="E141" s="16"/>
      <c r="F141" s="16"/>
    </row>
    <row r="142" customFormat="false" ht="23.25" hidden="false" customHeight="true" outlineLevel="0" collapsed="false">
      <c r="A142" s="33" t="s">
        <v>1382</v>
      </c>
      <c r="B142" s="34" t="s">
        <v>969</v>
      </c>
      <c r="C142" s="34"/>
      <c r="D142" s="16" t="s">
        <v>1383</v>
      </c>
      <c r="E142" s="16"/>
      <c r="F142" s="16"/>
    </row>
    <row r="143" customFormat="false" ht="23.25" hidden="false" customHeight="true" outlineLevel="0" collapsed="false">
      <c r="A143" s="33" t="s">
        <v>1384</v>
      </c>
      <c r="B143" s="34" t="s">
        <v>969</v>
      </c>
      <c r="C143" s="34"/>
      <c r="D143" s="16" t="s">
        <v>1385</v>
      </c>
      <c r="E143" s="16"/>
      <c r="F143" s="16"/>
    </row>
    <row r="144" customFormat="false" ht="23.25" hidden="false" customHeight="true" outlineLevel="0" collapsed="false">
      <c r="A144" s="33" t="s">
        <v>1386</v>
      </c>
      <c r="B144" s="34" t="s">
        <v>969</v>
      </c>
      <c r="C144" s="34"/>
      <c r="D144" s="16" t="s">
        <v>1387</v>
      </c>
      <c r="E144" s="16"/>
      <c r="F144" s="16"/>
    </row>
    <row r="145" customFormat="false" ht="23.25" hidden="false" customHeight="true" outlineLevel="0" collapsed="false">
      <c r="A145" s="33" t="s">
        <v>1388</v>
      </c>
      <c r="B145" s="34" t="s">
        <v>969</v>
      </c>
      <c r="C145" s="34"/>
      <c r="D145" s="16" t="s">
        <v>1389</v>
      </c>
      <c r="E145" s="16"/>
      <c r="F145" s="16"/>
    </row>
    <row r="146" customFormat="false" ht="23.25" hidden="false" customHeight="true" outlineLevel="0" collapsed="false">
      <c r="A146" s="33" t="s">
        <v>1390</v>
      </c>
      <c r="B146" s="34" t="s">
        <v>969</v>
      </c>
      <c r="C146" s="34"/>
      <c r="D146" s="16" t="s">
        <v>1391</v>
      </c>
      <c r="E146" s="16"/>
      <c r="F146" s="16"/>
    </row>
    <row r="147" customFormat="false" ht="23.25" hidden="false" customHeight="true" outlineLevel="0" collapsed="false">
      <c r="A147" s="33" t="s">
        <v>1392</v>
      </c>
      <c r="B147" s="34" t="s">
        <v>969</v>
      </c>
      <c r="C147" s="34"/>
      <c r="D147" s="16" t="s">
        <v>1393</v>
      </c>
      <c r="E147" s="16"/>
      <c r="F147" s="16"/>
    </row>
    <row r="148" customFormat="false" ht="23.25" hidden="false" customHeight="true" outlineLevel="0" collapsed="false">
      <c r="A148" s="33" t="s">
        <v>1394</v>
      </c>
      <c r="B148" s="34" t="s">
        <v>969</v>
      </c>
      <c r="C148" s="34"/>
      <c r="D148" s="16" t="s">
        <v>1395</v>
      </c>
      <c r="E148" s="16"/>
      <c r="F148" s="16"/>
    </row>
    <row r="149" customFormat="false" ht="15" hidden="false" customHeight="true" outlineLevel="0" collapsed="false">
      <c r="A149" s="33" t="s">
        <v>1396</v>
      </c>
      <c r="B149" s="34" t="s">
        <v>969</v>
      </c>
      <c r="C149" s="34"/>
      <c r="D149" s="16" t="s">
        <v>1397</v>
      </c>
      <c r="E149" s="16" t="s">
        <v>1398</v>
      </c>
      <c r="F149" s="16"/>
    </row>
    <row r="150" customFormat="false" ht="68.25" hidden="false" customHeight="true" outlineLevel="0" collapsed="false">
      <c r="A150" s="33" t="s">
        <v>1399</v>
      </c>
      <c r="B150" s="34" t="s">
        <v>969</v>
      </c>
      <c r="C150" s="34"/>
      <c r="D150" s="16" t="s">
        <v>1400</v>
      </c>
      <c r="E150" s="16"/>
      <c r="F150" s="16"/>
    </row>
    <row r="151" customFormat="false" ht="23.25" hidden="false" customHeight="true" outlineLevel="0" collapsed="false">
      <c r="A151" s="33" t="s">
        <v>1401</v>
      </c>
      <c r="B151" s="34" t="s">
        <v>969</v>
      </c>
      <c r="C151" s="34"/>
      <c r="D151" s="16" t="s">
        <v>1402</v>
      </c>
      <c r="E151" s="16"/>
      <c r="F151" s="16"/>
    </row>
    <row r="152" customFormat="false" ht="34.5" hidden="false" customHeight="true" outlineLevel="0" collapsed="false">
      <c r="A152" s="33" t="s">
        <v>1403</v>
      </c>
      <c r="B152" s="34" t="s">
        <v>969</v>
      </c>
      <c r="C152" s="34"/>
      <c r="D152" s="16" t="s">
        <v>1404</v>
      </c>
      <c r="E152" s="16"/>
      <c r="F152" s="16"/>
    </row>
    <row r="153" customFormat="false" ht="23.25" hidden="false" customHeight="true" outlineLevel="0" collapsed="false">
      <c r="A153" s="33" t="s">
        <v>1405</v>
      </c>
      <c r="B153" s="34" t="s">
        <v>969</v>
      </c>
      <c r="C153" s="34"/>
      <c r="D153" s="16" t="s">
        <v>1406</v>
      </c>
      <c r="E153" s="16" t="s">
        <v>1398</v>
      </c>
      <c r="F153" s="16"/>
    </row>
    <row r="154" customFormat="false" ht="23.25" hidden="false" customHeight="true" outlineLevel="0" collapsed="false">
      <c r="A154" s="33" t="s">
        <v>1407</v>
      </c>
      <c r="B154" s="34" t="s">
        <v>969</v>
      </c>
      <c r="C154" s="34"/>
      <c r="D154" s="16" t="s">
        <v>1408</v>
      </c>
      <c r="E154" s="16" t="s">
        <v>1398</v>
      </c>
      <c r="F154" s="16"/>
    </row>
    <row r="155" customFormat="false" ht="23.25" hidden="false" customHeight="true" outlineLevel="0" collapsed="false">
      <c r="A155" s="33" t="s">
        <v>1409</v>
      </c>
      <c r="B155" s="34" t="s">
        <v>969</v>
      </c>
      <c r="C155" s="34"/>
      <c r="D155" s="16" t="s">
        <v>1410</v>
      </c>
      <c r="E155" s="16" t="s">
        <v>1411</v>
      </c>
      <c r="F155" s="16"/>
    </row>
    <row r="156" customFormat="false" ht="23.25" hidden="false" customHeight="true" outlineLevel="0" collapsed="false">
      <c r="A156" s="33" t="s">
        <v>1412</v>
      </c>
      <c r="B156" s="34" t="s">
        <v>969</v>
      </c>
      <c r="C156" s="34"/>
      <c r="D156" s="16" t="s">
        <v>1413</v>
      </c>
      <c r="E156" s="16" t="s">
        <v>1411</v>
      </c>
      <c r="F156" s="16"/>
    </row>
    <row r="157" customFormat="false" ht="23.25" hidden="false" customHeight="true" outlineLevel="0" collapsed="false">
      <c r="A157" s="33" t="s">
        <v>1414</v>
      </c>
      <c r="B157" s="34" t="s">
        <v>969</v>
      </c>
      <c r="C157" s="34"/>
      <c r="D157" s="16" t="s">
        <v>1415</v>
      </c>
      <c r="E157" s="16" t="s">
        <v>1411</v>
      </c>
      <c r="F157" s="16"/>
    </row>
    <row r="158" customFormat="false" ht="57" hidden="false" customHeight="true" outlineLevel="0" collapsed="false">
      <c r="A158" s="33" t="s">
        <v>1416</v>
      </c>
      <c r="B158" s="34" t="s">
        <v>969</v>
      </c>
      <c r="C158" s="34"/>
      <c r="D158" s="16" t="s">
        <v>1417</v>
      </c>
      <c r="E158" s="16" t="s">
        <v>1411</v>
      </c>
      <c r="F158" s="16"/>
    </row>
    <row r="159" customFormat="false" ht="23.25" hidden="false" customHeight="true" outlineLevel="0" collapsed="false">
      <c r="A159" s="33" t="s">
        <v>1418</v>
      </c>
      <c r="B159" s="34" t="s">
        <v>969</v>
      </c>
      <c r="C159" s="34"/>
      <c r="D159" s="16" t="s">
        <v>1419</v>
      </c>
      <c r="E159" s="16" t="s">
        <v>1420</v>
      </c>
      <c r="F159" s="16"/>
    </row>
    <row r="160" customFormat="false" ht="34.5" hidden="false" customHeight="true" outlineLevel="0" collapsed="false">
      <c r="A160" s="33" t="s">
        <v>1421</v>
      </c>
      <c r="B160" s="34" t="s">
        <v>969</v>
      </c>
      <c r="C160" s="34"/>
      <c r="D160" s="16" t="s">
        <v>1422</v>
      </c>
      <c r="E160" s="16" t="s">
        <v>1423</v>
      </c>
      <c r="F160" s="16"/>
    </row>
    <row r="161" customFormat="false" ht="34.5" hidden="false" customHeight="true" outlineLevel="0" collapsed="false">
      <c r="A161" s="33" t="s">
        <v>1424</v>
      </c>
      <c r="B161" s="34" t="s">
        <v>969</v>
      </c>
      <c r="C161" s="34"/>
      <c r="D161" s="16" t="s">
        <v>1425</v>
      </c>
      <c r="E161" s="16" t="s">
        <v>1426</v>
      </c>
      <c r="F161" s="16"/>
    </row>
    <row r="162" customFormat="false" ht="45.75" hidden="false" customHeight="true" outlineLevel="0" collapsed="false">
      <c r="A162" s="33" t="s">
        <v>1427</v>
      </c>
      <c r="B162" s="34" t="s">
        <v>969</v>
      </c>
      <c r="C162" s="34"/>
      <c r="D162" s="16" t="s">
        <v>1428</v>
      </c>
      <c r="E162" s="16" t="s">
        <v>1429</v>
      </c>
      <c r="F162" s="16"/>
    </row>
    <row r="163" customFormat="false" ht="34.5" hidden="false" customHeight="true" outlineLevel="0" collapsed="false">
      <c r="A163" s="33" t="s">
        <v>1430</v>
      </c>
      <c r="B163" s="34" t="s">
        <v>969</v>
      </c>
      <c r="C163" s="34"/>
      <c r="D163" s="16" t="s">
        <v>1431</v>
      </c>
      <c r="E163" s="16" t="s">
        <v>1426</v>
      </c>
      <c r="F163" s="16"/>
    </row>
    <row r="164" customFormat="false" ht="23.25" hidden="false" customHeight="true" outlineLevel="0" collapsed="false">
      <c r="A164" s="33" t="s">
        <v>1432</v>
      </c>
      <c r="B164" s="34" t="s">
        <v>969</v>
      </c>
      <c r="C164" s="34"/>
      <c r="D164" s="16" t="s">
        <v>1433</v>
      </c>
      <c r="E164" s="16" t="s">
        <v>1426</v>
      </c>
      <c r="F164" s="16"/>
    </row>
    <row r="165" customFormat="false" ht="23.25" hidden="false" customHeight="true" outlineLevel="0" collapsed="false">
      <c r="A165" s="33" t="s">
        <v>1434</v>
      </c>
      <c r="B165" s="34" t="s">
        <v>969</v>
      </c>
      <c r="C165" s="34"/>
      <c r="D165" s="16" t="s">
        <v>1435</v>
      </c>
      <c r="E165" s="16" t="s">
        <v>1436</v>
      </c>
      <c r="F165" s="16"/>
    </row>
    <row r="166" customFormat="false" ht="23.25" hidden="false" customHeight="true" outlineLevel="0" collapsed="false">
      <c r="A166" s="33" t="s">
        <v>1437</v>
      </c>
      <c r="B166" s="34" t="s">
        <v>969</v>
      </c>
      <c r="C166" s="34"/>
      <c r="D166" s="16" t="s">
        <v>1438</v>
      </c>
      <c r="E166" s="16" t="s">
        <v>1439</v>
      </c>
      <c r="F166" s="16"/>
    </row>
    <row r="167" customFormat="false" ht="34.5" hidden="false" customHeight="true" outlineLevel="0" collapsed="false">
      <c r="A167" s="33" t="s">
        <v>1440</v>
      </c>
      <c r="B167" s="34" t="s">
        <v>969</v>
      </c>
      <c r="C167" s="34"/>
      <c r="D167" s="16" t="s">
        <v>1441</v>
      </c>
      <c r="E167" s="16" t="s">
        <v>1442</v>
      </c>
      <c r="F167" s="16" t="s">
        <v>1443</v>
      </c>
    </row>
    <row r="168" customFormat="false" ht="23.25" hidden="false" customHeight="true" outlineLevel="0" collapsed="false">
      <c r="A168" s="33" t="s">
        <v>1444</v>
      </c>
      <c r="B168" s="34" t="s">
        <v>969</v>
      </c>
      <c r="C168" s="34"/>
      <c r="D168" s="16" t="s">
        <v>1445</v>
      </c>
      <c r="E168" s="16" t="s">
        <v>1442</v>
      </c>
      <c r="F168" s="16" t="s">
        <v>1446</v>
      </c>
    </row>
    <row r="169" customFormat="false" ht="45.75" hidden="false" customHeight="true" outlineLevel="0" collapsed="false">
      <c r="A169" s="33" t="s">
        <v>1447</v>
      </c>
      <c r="B169" s="34" t="s">
        <v>969</v>
      </c>
      <c r="C169" s="34"/>
      <c r="D169" s="16" t="s">
        <v>1448</v>
      </c>
      <c r="E169" s="16" t="s">
        <v>1449</v>
      </c>
      <c r="F169" s="16"/>
    </row>
    <row r="170" customFormat="false" ht="45.75" hidden="false" customHeight="true" outlineLevel="0" collapsed="false">
      <c r="A170" s="33" t="s">
        <v>1450</v>
      </c>
      <c r="B170" s="34" t="s">
        <v>969</v>
      </c>
      <c r="C170" s="34"/>
      <c r="D170" s="16" t="s">
        <v>1451</v>
      </c>
      <c r="E170" s="16" t="s">
        <v>1452</v>
      </c>
      <c r="F170" s="16"/>
    </row>
    <row r="171" customFormat="false" ht="23.25" hidden="false" customHeight="true" outlineLevel="0" collapsed="false">
      <c r="A171" s="33" t="s">
        <v>1453</v>
      </c>
      <c r="B171" s="34" t="s">
        <v>969</v>
      </c>
      <c r="C171" s="34"/>
      <c r="D171" s="16" t="s">
        <v>1454</v>
      </c>
      <c r="E171" s="16" t="s">
        <v>1455</v>
      </c>
      <c r="F171" s="16" t="s">
        <v>1456</v>
      </c>
    </row>
    <row r="172" customFormat="false" ht="34.5" hidden="false" customHeight="true" outlineLevel="0" collapsed="false">
      <c r="A172" s="33" t="s">
        <v>1457</v>
      </c>
      <c r="B172" s="34" t="s">
        <v>969</v>
      </c>
      <c r="C172" s="34"/>
      <c r="D172" s="16" t="s">
        <v>1458</v>
      </c>
      <c r="E172" s="16" t="s">
        <v>1459</v>
      </c>
      <c r="F172" s="16"/>
    </row>
    <row r="173" customFormat="false" ht="34.5" hidden="false" customHeight="true" outlineLevel="0" collapsed="false">
      <c r="A173" s="33" t="s">
        <v>1460</v>
      </c>
      <c r="B173" s="34" t="s">
        <v>969</v>
      </c>
      <c r="C173" s="34"/>
      <c r="D173" s="16" t="s">
        <v>1461</v>
      </c>
      <c r="E173" s="16" t="s">
        <v>1452</v>
      </c>
      <c r="F173" s="16" t="s">
        <v>1462</v>
      </c>
    </row>
    <row r="174" customFormat="false" ht="45.75" hidden="false" customHeight="true" outlineLevel="0" collapsed="false">
      <c r="A174" s="33" t="s">
        <v>1463</v>
      </c>
      <c r="B174" s="34" t="s">
        <v>969</v>
      </c>
      <c r="C174" s="34"/>
      <c r="D174" s="16" t="s">
        <v>1464</v>
      </c>
      <c r="E174" s="16" t="s">
        <v>1465</v>
      </c>
      <c r="F174" s="16" t="s">
        <v>1466</v>
      </c>
    </row>
    <row r="175" customFormat="false" ht="34.5" hidden="false" customHeight="true" outlineLevel="0" collapsed="false">
      <c r="A175" s="33" t="s">
        <v>1467</v>
      </c>
      <c r="B175" s="34" t="s">
        <v>969</v>
      </c>
      <c r="C175" s="34"/>
      <c r="D175" s="16" t="s">
        <v>1468</v>
      </c>
      <c r="E175" s="16" t="s">
        <v>1459</v>
      </c>
      <c r="F175" s="16" t="s">
        <v>1469</v>
      </c>
    </row>
    <row r="176" customFormat="false" ht="45.75" hidden="false" customHeight="true" outlineLevel="0" collapsed="false">
      <c r="A176" s="33" t="s">
        <v>1470</v>
      </c>
      <c r="B176" s="34" t="s">
        <v>969</v>
      </c>
      <c r="C176" s="34"/>
      <c r="D176" s="16" t="s">
        <v>1471</v>
      </c>
      <c r="E176" s="16" t="s">
        <v>1472</v>
      </c>
      <c r="F176" s="16" t="s">
        <v>1473</v>
      </c>
    </row>
    <row r="177" customFormat="false" ht="34.5" hidden="false" customHeight="true" outlineLevel="0" collapsed="false">
      <c r="A177" s="33" t="s">
        <v>1474</v>
      </c>
      <c r="B177" s="34" t="s">
        <v>969</v>
      </c>
      <c r="C177" s="34"/>
      <c r="D177" s="16" t="s">
        <v>1475</v>
      </c>
      <c r="E177" s="16" t="s">
        <v>1476</v>
      </c>
      <c r="F177" s="16" t="s">
        <v>1477</v>
      </c>
    </row>
    <row r="178" customFormat="false" ht="34.5" hidden="false" customHeight="true" outlineLevel="0" collapsed="false">
      <c r="A178" s="33" t="s">
        <v>1478</v>
      </c>
      <c r="B178" s="34" t="s">
        <v>969</v>
      </c>
      <c r="C178" s="34"/>
      <c r="D178" s="16" t="s">
        <v>1479</v>
      </c>
      <c r="E178" s="16" t="s">
        <v>1476</v>
      </c>
      <c r="F178" s="16" t="s">
        <v>1480</v>
      </c>
    </row>
    <row r="179" customFormat="false" ht="23.25" hidden="false" customHeight="true" outlineLevel="0" collapsed="false">
      <c r="A179" s="33" t="s">
        <v>1481</v>
      </c>
      <c r="B179" s="34" t="s">
        <v>969</v>
      </c>
      <c r="C179" s="34"/>
      <c r="D179" s="16" t="s">
        <v>1482</v>
      </c>
      <c r="E179" s="16" t="s">
        <v>1483</v>
      </c>
      <c r="F179" s="16" t="s">
        <v>1484</v>
      </c>
    </row>
    <row r="180" customFormat="false" ht="34.5" hidden="false" customHeight="true" outlineLevel="0" collapsed="false">
      <c r="A180" s="33" t="s">
        <v>1485</v>
      </c>
      <c r="B180" s="34" t="s">
        <v>969</v>
      </c>
      <c r="C180" s="34"/>
      <c r="D180" s="16" t="s">
        <v>1486</v>
      </c>
      <c r="E180" s="16" t="s">
        <v>1487</v>
      </c>
      <c r="F180" s="16" t="s">
        <v>1488</v>
      </c>
    </row>
    <row r="181" customFormat="false" ht="90.75" hidden="false" customHeight="true" outlineLevel="0" collapsed="false">
      <c r="A181" s="33" t="s">
        <v>1489</v>
      </c>
      <c r="B181" s="34" t="s">
        <v>1490</v>
      </c>
      <c r="C181" s="34"/>
      <c r="D181" s="16" t="s">
        <v>1491</v>
      </c>
      <c r="E181" s="16" t="s">
        <v>1492</v>
      </c>
      <c r="F181" s="16" t="s">
        <v>1493</v>
      </c>
    </row>
    <row r="182" customFormat="false" ht="34.5" hidden="false" customHeight="true" outlineLevel="0" collapsed="false">
      <c r="A182" s="33" t="s">
        <v>1494</v>
      </c>
      <c r="B182" s="34" t="s">
        <v>1490</v>
      </c>
      <c r="C182" s="34"/>
      <c r="D182" s="16" t="s">
        <v>1495</v>
      </c>
      <c r="E182" s="16" t="s">
        <v>1492</v>
      </c>
      <c r="F182" s="16" t="s">
        <v>1496</v>
      </c>
    </row>
    <row r="183" customFormat="false" ht="23.25" hidden="false" customHeight="true" outlineLevel="0" collapsed="false">
      <c r="A183" s="33" t="s">
        <v>1497</v>
      </c>
      <c r="B183" s="34" t="s">
        <v>1490</v>
      </c>
      <c r="C183" s="34"/>
      <c r="D183" s="16" t="s">
        <v>1498</v>
      </c>
      <c r="E183" s="16" t="s">
        <v>1492</v>
      </c>
      <c r="F183" s="16" t="s">
        <v>1499</v>
      </c>
    </row>
    <row r="184" customFormat="false" ht="34.5" hidden="false" customHeight="true" outlineLevel="0" collapsed="false">
      <c r="A184" s="33" t="s">
        <v>1500</v>
      </c>
      <c r="B184" s="34" t="s">
        <v>1490</v>
      </c>
      <c r="C184" s="34"/>
      <c r="D184" s="16" t="s">
        <v>1501</v>
      </c>
      <c r="E184" s="16" t="s">
        <v>1492</v>
      </c>
      <c r="F184" s="16" t="s">
        <v>1502</v>
      </c>
    </row>
    <row r="185" customFormat="false" ht="34.5" hidden="false" customHeight="true" outlineLevel="0" collapsed="false">
      <c r="A185" s="33" t="s">
        <v>1503</v>
      </c>
      <c r="B185" s="34" t="s">
        <v>1490</v>
      </c>
      <c r="C185" s="34"/>
      <c r="D185" s="16" t="s">
        <v>1504</v>
      </c>
      <c r="E185" s="16" t="s">
        <v>1492</v>
      </c>
      <c r="F185" s="16" t="s">
        <v>1505</v>
      </c>
    </row>
    <row r="186" customFormat="false" ht="34.5" hidden="false" customHeight="true" outlineLevel="0" collapsed="false">
      <c r="A186" s="33" t="s">
        <v>1506</v>
      </c>
      <c r="B186" s="34" t="s">
        <v>1490</v>
      </c>
      <c r="C186" s="34"/>
      <c r="D186" s="16" t="s">
        <v>1507</v>
      </c>
      <c r="E186" s="16" t="s">
        <v>1492</v>
      </c>
      <c r="F186" s="16" t="s">
        <v>1508</v>
      </c>
    </row>
    <row r="187" customFormat="false" ht="34.5" hidden="false" customHeight="true" outlineLevel="0" collapsed="false">
      <c r="A187" s="33" t="s">
        <v>1509</v>
      </c>
      <c r="B187" s="34" t="s">
        <v>1490</v>
      </c>
      <c r="C187" s="34"/>
      <c r="D187" s="16" t="s">
        <v>1510</v>
      </c>
      <c r="E187" s="16" t="s">
        <v>1492</v>
      </c>
      <c r="F187" s="16" t="s">
        <v>1511</v>
      </c>
    </row>
    <row r="188" customFormat="false" ht="34.5" hidden="false" customHeight="true" outlineLevel="0" collapsed="false">
      <c r="A188" s="33" t="s">
        <v>1512</v>
      </c>
      <c r="B188" s="34" t="s">
        <v>1490</v>
      </c>
      <c r="C188" s="34"/>
      <c r="D188" s="16" t="s">
        <v>1513</v>
      </c>
      <c r="E188" s="16" t="s">
        <v>1492</v>
      </c>
      <c r="F188" s="16" t="s">
        <v>1514</v>
      </c>
    </row>
    <row r="189" customFormat="false" ht="34.5" hidden="false" customHeight="true" outlineLevel="0" collapsed="false">
      <c r="A189" s="33" t="s">
        <v>1515</v>
      </c>
      <c r="B189" s="34" t="s">
        <v>1490</v>
      </c>
      <c r="C189" s="34"/>
      <c r="D189" s="16" t="s">
        <v>1516</v>
      </c>
      <c r="E189" s="16" t="s">
        <v>1492</v>
      </c>
      <c r="F189" s="16" t="s">
        <v>1517</v>
      </c>
    </row>
    <row r="190" customFormat="false" ht="23.25" hidden="false" customHeight="true" outlineLevel="0" collapsed="false">
      <c r="A190" s="33" t="s">
        <v>1518</v>
      </c>
      <c r="B190" s="34" t="s">
        <v>1490</v>
      </c>
      <c r="C190" s="34"/>
      <c r="D190" s="16" t="s">
        <v>1519</v>
      </c>
      <c r="E190" s="16" t="s">
        <v>1492</v>
      </c>
      <c r="F190" s="16" t="s">
        <v>1520</v>
      </c>
    </row>
    <row r="191" customFormat="false" ht="23.25" hidden="false" customHeight="true" outlineLevel="0" collapsed="false">
      <c r="A191" s="33" t="s">
        <v>486</v>
      </c>
      <c r="B191" s="34" t="s">
        <v>1490</v>
      </c>
      <c r="C191" s="34"/>
      <c r="D191" s="16" t="s">
        <v>1521</v>
      </c>
      <c r="E191" s="16" t="s">
        <v>1492</v>
      </c>
      <c r="F191" s="16" t="s">
        <v>1522</v>
      </c>
    </row>
    <row r="192" customFormat="false" ht="45.75" hidden="false" customHeight="true" outlineLevel="0" collapsed="false">
      <c r="A192" s="33" t="s">
        <v>1523</v>
      </c>
      <c r="B192" s="34" t="s">
        <v>1490</v>
      </c>
      <c r="C192" s="34"/>
      <c r="D192" s="16" t="s">
        <v>1524</v>
      </c>
      <c r="E192" s="16" t="s">
        <v>1492</v>
      </c>
      <c r="F192" s="16" t="s">
        <v>1525</v>
      </c>
    </row>
    <row r="193" customFormat="false" ht="34.5" hidden="false" customHeight="true" outlineLevel="0" collapsed="false">
      <c r="A193" s="33" t="s">
        <v>1526</v>
      </c>
      <c r="B193" s="34" t="s">
        <v>1490</v>
      </c>
      <c r="C193" s="34"/>
      <c r="D193" s="16" t="s">
        <v>1527</v>
      </c>
      <c r="E193" s="16" t="s">
        <v>1492</v>
      </c>
      <c r="F193" s="16" t="s">
        <v>1528</v>
      </c>
    </row>
    <row r="194" customFormat="false" ht="34.5" hidden="false" customHeight="true" outlineLevel="0" collapsed="false">
      <c r="A194" s="33" t="s">
        <v>1529</v>
      </c>
      <c r="B194" s="34" t="s">
        <v>1490</v>
      </c>
      <c r="C194" s="34"/>
      <c r="D194" s="16" t="s">
        <v>1530</v>
      </c>
      <c r="E194" s="16" t="s">
        <v>1492</v>
      </c>
      <c r="F194" s="16" t="s">
        <v>1531</v>
      </c>
    </row>
    <row r="195" customFormat="false" ht="23.25" hidden="false" customHeight="true" outlineLevel="0" collapsed="false">
      <c r="A195" s="33" t="s">
        <v>1532</v>
      </c>
      <c r="B195" s="34" t="s">
        <v>1490</v>
      </c>
      <c r="C195" s="34"/>
      <c r="D195" s="16" t="s">
        <v>1533</v>
      </c>
      <c r="E195" s="16" t="s">
        <v>1492</v>
      </c>
      <c r="F195" s="16" t="s">
        <v>1534</v>
      </c>
    </row>
    <row r="196" customFormat="false" ht="57" hidden="false" customHeight="true" outlineLevel="0" collapsed="false">
      <c r="A196" s="33" t="s">
        <v>1535</v>
      </c>
      <c r="B196" s="34" t="s">
        <v>1490</v>
      </c>
      <c r="C196" s="34"/>
      <c r="D196" s="16" t="s">
        <v>1536</v>
      </c>
      <c r="E196" s="16" t="s">
        <v>1492</v>
      </c>
      <c r="F196" s="16" t="s">
        <v>1537</v>
      </c>
    </row>
    <row r="197" customFormat="false" ht="23.25" hidden="false" customHeight="true" outlineLevel="0" collapsed="false">
      <c r="A197" s="33" t="s">
        <v>1538</v>
      </c>
      <c r="B197" s="34" t="s">
        <v>1490</v>
      </c>
      <c r="C197" s="34"/>
      <c r="D197" s="16" t="s">
        <v>1539</v>
      </c>
      <c r="E197" s="16" t="s">
        <v>1492</v>
      </c>
      <c r="F197" s="16" t="s">
        <v>1540</v>
      </c>
    </row>
    <row r="198" customFormat="false" ht="23.25" hidden="false" customHeight="true" outlineLevel="0" collapsed="false">
      <c r="A198" s="33" t="s">
        <v>1541</v>
      </c>
      <c r="B198" s="34" t="s">
        <v>1490</v>
      </c>
      <c r="C198" s="34"/>
      <c r="D198" s="16" t="s">
        <v>1542</v>
      </c>
      <c r="E198" s="16" t="s">
        <v>1492</v>
      </c>
      <c r="F198" s="16" t="s">
        <v>1543</v>
      </c>
    </row>
    <row r="199" customFormat="false" ht="23.25" hidden="false" customHeight="true" outlineLevel="0" collapsed="false">
      <c r="A199" s="33" t="s">
        <v>1544</v>
      </c>
      <c r="B199" s="34" t="s">
        <v>1490</v>
      </c>
      <c r="C199" s="34"/>
      <c r="D199" s="16" t="s">
        <v>1545</v>
      </c>
      <c r="E199" s="16" t="s">
        <v>1492</v>
      </c>
      <c r="F199" s="16" t="s">
        <v>1546</v>
      </c>
    </row>
    <row r="200" customFormat="false" ht="45.75" hidden="false" customHeight="true" outlineLevel="0" collapsed="false">
      <c r="A200" s="33" t="s">
        <v>1547</v>
      </c>
      <c r="B200" s="34" t="s">
        <v>1490</v>
      </c>
      <c r="C200" s="34"/>
      <c r="D200" s="16" t="s">
        <v>1548</v>
      </c>
      <c r="E200" s="16" t="s">
        <v>1492</v>
      </c>
      <c r="F200" s="16" t="s">
        <v>1549</v>
      </c>
    </row>
    <row r="201" customFormat="false" ht="34.5" hidden="false" customHeight="true" outlineLevel="0" collapsed="false">
      <c r="A201" s="33" t="s">
        <v>1550</v>
      </c>
      <c r="B201" s="34" t="s">
        <v>1490</v>
      </c>
      <c r="C201" s="34"/>
      <c r="D201" s="16" t="s">
        <v>1551</v>
      </c>
      <c r="E201" s="16" t="s">
        <v>1492</v>
      </c>
      <c r="F201" s="16" t="s">
        <v>1552</v>
      </c>
    </row>
    <row r="202" customFormat="false" ht="57" hidden="false" customHeight="true" outlineLevel="0" collapsed="false">
      <c r="A202" s="33" t="s">
        <v>1553</v>
      </c>
      <c r="B202" s="34" t="s">
        <v>969</v>
      </c>
      <c r="C202" s="34"/>
      <c r="D202" s="16" t="s">
        <v>1554</v>
      </c>
      <c r="E202" s="16" t="s">
        <v>1555</v>
      </c>
      <c r="F202" s="16" t="s">
        <v>1556</v>
      </c>
    </row>
    <row r="203" customFormat="false" ht="23.25" hidden="false" customHeight="true" outlineLevel="0" collapsed="false">
      <c r="A203" s="33" t="s">
        <v>1557</v>
      </c>
      <c r="B203" s="34" t="s">
        <v>1490</v>
      </c>
      <c r="C203" s="34"/>
      <c r="D203" s="16" t="s">
        <v>1558</v>
      </c>
      <c r="E203" s="16" t="s">
        <v>1492</v>
      </c>
      <c r="F203" s="16" t="s">
        <v>1559</v>
      </c>
    </row>
    <row r="204" customFormat="false" ht="23.25" hidden="false" customHeight="true" outlineLevel="0" collapsed="false">
      <c r="A204" s="33" t="s">
        <v>1560</v>
      </c>
      <c r="B204" s="34" t="s">
        <v>1490</v>
      </c>
      <c r="C204" s="34"/>
      <c r="D204" s="16" t="s">
        <v>1561</v>
      </c>
      <c r="E204" s="16" t="s">
        <v>1492</v>
      </c>
      <c r="F204" s="16" t="s">
        <v>1562</v>
      </c>
    </row>
    <row r="205" customFormat="false" ht="23.25" hidden="false" customHeight="true" outlineLevel="0" collapsed="false">
      <c r="A205" s="33" t="s">
        <v>1563</v>
      </c>
      <c r="B205" s="34" t="s">
        <v>1490</v>
      </c>
      <c r="C205" s="34"/>
      <c r="D205" s="16" t="s">
        <v>1564</v>
      </c>
      <c r="E205" s="16" t="s">
        <v>1492</v>
      </c>
      <c r="F205" s="16" t="s">
        <v>1565</v>
      </c>
    </row>
    <row r="206" customFormat="false" ht="45.75" hidden="false" customHeight="true" outlineLevel="0" collapsed="false">
      <c r="A206" s="33" t="s">
        <v>1566</v>
      </c>
      <c r="B206" s="34" t="s">
        <v>1490</v>
      </c>
      <c r="C206" s="34"/>
      <c r="D206" s="16" t="s">
        <v>1567</v>
      </c>
      <c r="E206" s="16" t="s">
        <v>1492</v>
      </c>
      <c r="F206" s="16" t="s">
        <v>1568</v>
      </c>
    </row>
    <row r="207" customFormat="false" ht="34.5" hidden="false" customHeight="true" outlineLevel="0" collapsed="false">
      <c r="A207" s="33" t="s">
        <v>1569</v>
      </c>
      <c r="B207" s="34" t="s">
        <v>1490</v>
      </c>
      <c r="C207" s="34"/>
      <c r="D207" s="16" t="s">
        <v>1570</v>
      </c>
      <c r="E207" s="16" t="s">
        <v>1571</v>
      </c>
      <c r="F207" s="16" t="s">
        <v>1572</v>
      </c>
    </row>
    <row r="208" customFormat="false" ht="23.25" hidden="false" customHeight="true" outlineLevel="0" collapsed="false">
      <c r="A208" s="33" t="s">
        <v>1573</v>
      </c>
      <c r="B208" s="34" t="s">
        <v>1490</v>
      </c>
      <c r="C208" s="34"/>
      <c r="D208" s="16" t="s">
        <v>1574</v>
      </c>
      <c r="E208" s="16" t="s">
        <v>1492</v>
      </c>
      <c r="F208" s="16" t="s">
        <v>1575</v>
      </c>
    </row>
    <row r="209" customFormat="false" ht="23.25" hidden="false" customHeight="true" outlineLevel="0" collapsed="false">
      <c r="A209" s="33" t="s">
        <v>1576</v>
      </c>
      <c r="B209" s="34" t="s">
        <v>1490</v>
      </c>
      <c r="C209" s="34"/>
      <c r="D209" s="16" t="s">
        <v>1577</v>
      </c>
      <c r="E209" s="16" t="s">
        <v>1492</v>
      </c>
      <c r="F209" s="16" t="s">
        <v>1578</v>
      </c>
    </row>
    <row r="210" customFormat="false" ht="45.75" hidden="false" customHeight="true" outlineLevel="0" collapsed="false">
      <c r="A210" s="33" t="s">
        <v>1579</v>
      </c>
      <c r="B210" s="34" t="s">
        <v>1490</v>
      </c>
      <c r="C210" s="34"/>
      <c r="D210" s="16" t="s">
        <v>1580</v>
      </c>
      <c r="E210" s="16" t="s">
        <v>1492</v>
      </c>
      <c r="F210" s="16" t="s">
        <v>1581</v>
      </c>
    </row>
    <row r="211" customFormat="false" ht="34.5" hidden="false" customHeight="true" outlineLevel="0" collapsed="false">
      <c r="A211" s="33" t="s">
        <v>1582</v>
      </c>
      <c r="B211" s="34" t="s">
        <v>1490</v>
      </c>
      <c r="C211" s="34"/>
      <c r="D211" s="16" t="s">
        <v>1583</v>
      </c>
      <c r="E211" s="16" t="s">
        <v>1492</v>
      </c>
      <c r="F211" s="16" t="s">
        <v>1584</v>
      </c>
    </row>
    <row r="212" customFormat="false" ht="23.25" hidden="false" customHeight="true" outlineLevel="0" collapsed="false">
      <c r="A212" s="33" t="s">
        <v>1585</v>
      </c>
      <c r="B212" s="34" t="s">
        <v>1490</v>
      </c>
      <c r="C212" s="34"/>
      <c r="D212" s="16" t="s">
        <v>1586</v>
      </c>
      <c r="E212" s="16" t="s">
        <v>1492</v>
      </c>
      <c r="F212" s="16" t="s">
        <v>1587</v>
      </c>
    </row>
    <row r="213" customFormat="false" ht="45.75" hidden="false" customHeight="true" outlineLevel="0" collapsed="false">
      <c r="A213" s="33" t="s">
        <v>1588</v>
      </c>
      <c r="B213" s="34" t="s">
        <v>1490</v>
      </c>
      <c r="C213" s="34"/>
      <c r="D213" s="16" t="s">
        <v>1589</v>
      </c>
      <c r="E213" s="16" t="s">
        <v>1492</v>
      </c>
      <c r="F213" s="16" t="s">
        <v>1590</v>
      </c>
    </row>
    <row r="214" customFormat="false" ht="34.5" hidden="false" customHeight="true" outlineLevel="0" collapsed="false">
      <c r="A214" s="33" t="s">
        <v>1591</v>
      </c>
      <c r="B214" s="34" t="s">
        <v>1490</v>
      </c>
      <c r="C214" s="34"/>
      <c r="D214" s="16" t="s">
        <v>1592</v>
      </c>
      <c r="E214" s="16" t="s">
        <v>1492</v>
      </c>
      <c r="F214" s="16" t="s">
        <v>1593</v>
      </c>
    </row>
    <row r="215" customFormat="false" ht="23.25" hidden="false" customHeight="true" outlineLevel="0" collapsed="false">
      <c r="A215" s="33" t="s">
        <v>1594</v>
      </c>
      <c r="B215" s="34" t="s">
        <v>1490</v>
      </c>
      <c r="C215" s="34"/>
      <c r="D215" s="16" t="s">
        <v>1595</v>
      </c>
      <c r="E215" s="16" t="s">
        <v>1492</v>
      </c>
      <c r="F215" s="16" t="s">
        <v>1596</v>
      </c>
    </row>
    <row r="216" customFormat="false" ht="23.25" hidden="false" customHeight="true" outlineLevel="0" collapsed="false">
      <c r="A216" s="33" t="s">
        <v>1597</v>
      </c>
      <c r="B216" s="34" t="s">
        <v>1490</v>
      </c>
      <c r="C216" s="34"/>
      <c r="D216" s="16" t="s">
        <v>1598</v>
      </c>
      <c r="E216" s="16" t="s">
        <v>1492</v>
      </c>
      <c r="F216" s="16" t="s">
        <v>1599</v>
      </c>
    </row>
    <row r="217" customFormat="false" ht="45.75" hidden="false" customHeight="true" outlineLevel="0" collapsed="false">
      <c r="A217" s="33" t="s">
        <v>1600</v>
      </c>
      <c r="B217" s="34" t="s">
        <v>969</v>
      </c>
      <c r="C217" s="34"/>
      <c r="D217" s="16" t="s">
        <v>1601</v>
      </c>
      <c r="E217" s="16" t="s">
        <v>1602</v>
      </c>
      <c r="F217" s="16" t="s">
        <v>1603</v>
      </c>
    </row>
    <row r="218" customFormat="false" ht="34.5" hidden="false" customHeight="true" outlineLevel="0" collapsed="false">
      <c r="A218" s="33" t="s">
        <v>1604</v>
      </c>
      <c r="B218" s="34" t="s">
        <v>1490</v>
      </c>
      <c r="C218" s="34"/>
      <c r="D218" s="16" t="s">
        <v>1605</v>
      </c>
      <c r="E218" s="16" t="s">
        <v>1606</v>
      </c>
      <c r="F218" s="16" t="s">
        <v>1607</v>
      </c>
    </row>
    <row r="219" customFormat="false" ht="23.85" hidden="false" customHeight="false" outlineLevel="0" collapsed="false">
      <c r="A219" s="33" t="s">
        <v>1608</v>
      </c>
      <c r="B219" s="34" t="s">
        <v>1490</v>
      </c>
      <c r="C219" s="34"/>
      <c r="D219" s="16" t="s">
        <v>1609</v>
      </c>
      <c r="E219" s="16" t="s">
        <v>1492</v>
      </c>
      <c r="F219" s="16" t="s">
        <v>1610</v>
      </c>
    </row>
    <row r="220" customFormat="false" ht="23.85" hidden="false" customHeight="false" outlineLevel="0" collapsed="false">
      <c r="A220" s="33" t="s">
        <v>1611</v>
      </c>
      <c r="B220" s="34" t="s">
        <v>969</v>
      </c>
      <c r="C220" s="34"/>
      <c r="D220" s="16" t="s">
        <v>1612</v>
      </c>
      <c r="E220" s="16" t="s">
        <v>1613</v>
      </c>
      <c r="F220" s="16" t="s">
        <v>1614</v>
      </c>
    </row>
    <row r="221" customFormat="false" ht="46.25" hidden="false" customHeight="false" outlineLevel="0" collapsed="false">
      <c r="A221" s="33" t="s">
        <v>1615</v>
      </c>
      <c r="B221" s="34" t="s">
        <v>969</v>
      </c>
      <c r="C221" s="34"/>
      <c r="D221" s="16" t="s">
        <v>1616</v>
      </c>
      <c r="E221" s="16" t="s">
        <v>1617</v>
      </c>
      <c r="F221" s="16" t="s">
        <v>1618</v>
      </c>
    </row>
    <row r="222" customFormat="false" ht="35.05" hidden="false" customHeight="false" outlineLevel="0" collapsed="false">
      <c r="A222" s="33" t="s">
        <v>1619</v>
      </c>
      <c r="B222" s="34" t="s">
        <v>969</v>
      </c>
      <c r="C222" s="34"/>
      <c r="D222" s="16" t="s">
        <v>1620</v>
      </c>
      <c r="E222" s="16" t="s">
        <v>1621</v>
      </c>
      <c r="F222" s="16" t="s">
        <v>1622</v>
      </c>
    </row>
  </sheetData>
  <autoFilter ref="A2:F201"/>
  <mergeCells count="1">
    <mergeCell ref="A1:F1"/>
  </mergeCells>
  <conditionalFormatting sqref="B3:B201">
    <cfRule type="cellIs" priority="2" operator="equal" aboveAverage="0" equalAverage="0" bottom="0" percent="0" rank="0" text="" dxfId="20">
      <formula>"Decidida"</formula>
    </cfRule>
    <cfRule type="cellIs" priority="3" operator="equal" aboveAverage="0" equalAverage="0" bottom="0" percent="0" rank="0" text="" dxfId="21">
      <formula>"Propuesta"</formula>
    </cfRule>
  </conditionalFormatting>
  <conditionalFormatting sqref="C3:C201">
    <cfRule type="cellIs" priority="4"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2026-08-26T14:05:21Z</dcterms:created>
  <dc:creator>openpyxl</dc:creator>
  <dc:description/>
  <dc:language>en-US</dc:language>
  <cp:lastModifiedBy/>
  <dcterms:modified xsi:type="dcterms:W3CDTF">2026-08-31T07:04:53Z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