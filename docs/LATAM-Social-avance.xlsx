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s>
  <definedNames>
    <definedName name="_xlnm._FilterDatabase" localSheetId="2" hidden="1">'Actividades'!$A$1:$J$164</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color rgb="001F3864"/>
      <sz val="12"/>
    </font>
    <font>
      <name val="Arial"/>
      <i val="1"/>
      <color rgb="00808080"/>
      <sz val="9"/>
    </font>
    <font>
      <name val="Arial"/>
      <b val="1"/>
      <color rgb="00FFFFFF"/>
      <sz val="10"/>
    </font>
    <font>
      <name val="Arial"/>
      <sz val="10"/>
    </font>
    <font>
      <name val="Arial"/>
      <b val="1"/>
      <color rgb="001F3864"/>
      <sz val="16"/>
    </font>
    <font>
      <name val="Arial"/>
      <i val="1"/>
      <color rgb="00595959"/>
      <sz val="10"/>
    </font>
    <font>
      <name val="Arial"/>
      <b val="1"/>
      <color rgb="001F3864"/>
      <sz val="14"/>
    </font>
    <font>
      <name val="Arial"/>
      <b val="1"/>
      <sz val="11"/>
    </font>
    <font>
      <name val="Arial"/>
      <b val="1"/>
      <color rgb="00006100"/>
      <sz val="10"/>
    </font>
    <font>
      <name val="Arial"/>
      <b val="1"/>
      <color rgb="009C5700"/>
      <sz val="10"/>
    </font>
    <font>
      <name val="Arial"/>
      <b val="1"/>
      <color rgb="00595959"/>
      <sz val="10"/>
    </font>
    <font>
      <name val="Arial"/>
      <b val="1"/>
      <color rgb="009C0006"/>
      <sz val="10"/>
    </font>
    <font>
      <name val="Arial"/>
      <b val="1"/>
      <color rgb="001F4E79"/>
      <sz val="10"/>
    </font>
    <font>
      <name val="Arial"/>
      <b val="1"/>
      <color rgb="00A6A6A6"/>
      <sz val="10"/>
    </font>
  </fonts>
  <fills count="9">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2F2F2"/>
      </patternFill>
    </fill>
    <fill>
      <patternFill patternType="solid">
        <fgColor rgb="00FFC7CE"/>
      </patternFill>
    </fill>
    <fill>
      <patternFill patternType="solid">
        <fgColor rgb="00DDEBF7"/>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3" fillId="2" borderId="0" applyAlignment="1" pivotButton="0" quotePrefix="0" xfId="0">
      <alignment horizontal="center" vertical="center"/>
    </xf>
    <xf numFmtId="164" fontId="8" fillId="0" borderId="0" pivotButton="0" quotePrefix="0" xfId="0"/>
    <xf numFmtId="1" fontId="8" fillId="0" borderId="0" pivotButton="0" quotePrefix="0" xfId="0"/>
    <xf numFmtId="0" fontId="9" fillId="3" borderId="0" pivotButton="0" quotePrefix="0" xfId="0"/>
    <xf numFmtId="164" fontId="0" fillId="0" borderId="0" pivotButton="0" quotePrefix="0" xfId="0"/>
    <xf numFmtId="0" fontId="10" fillId="4" borderId="0" pivotButton="0" quotePrefix="0" xfId="0"/>
    <xf numFmtId="0" fontId="11" fillId="5" borderId="0" pivotButton="0" quotePrefix="0" xfId="0"/>
    <xf numFmtId="0" fontId="12" fillId="6" borderId="0" pivotButton="0" quotePrefix="0" xfId="0"/>
    <xf numFmtId="0" fontId="13" fillId="7" borderId="0" pivotButton="0" quotePrefix="0" xfId="0"/>
    <xf numFmtId="0" fontId="14" fillId="8" borderId="0" pivotButton="0" quotePrefix="0" xfId="0"/>
    <xf numFmtId="0" fontId="4" fillId="0" borderId="0" applyAlignment="1" pivotButton="0" quotePrefix="0" xfId="0">
      <alignment vertical="top" wrapText="1"/>
    </xf>
    <xf numFmtId="0" fontId="1" fillId="0" borderId="0" pivotButton="0" quotePrefix="0" xfId="0"/>
    <xf numFmtId="0" fontId="3" fillId="2" borderId="0" pivotButton="0" quotePrefix="0" xfId="0"/>
    <xf numFmtId="0" fontId="4" fillId="0" borderId="0" pivotButton="0" quotePrefix="0" xfId="0"/>
    <xf numFmtId="9" fontId="4" fillId="0" borderId="0" pivotButton="0" quotePrefix="0" xfId="0"/>
    <xf numFmtId="0" fontId="2" fillId="0" borderId="0" pivotButton="0" quotePrefix="0" xfId="0"/>
    <xf numFmtId="0" fontId="4" fillId="0" borderId="1" applyAlignment="1" pivotButton="0" quotePrefix="0" xfId="0">
      <alignment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horizontal="center" vertical="center"/>
    </xf>
    <xf numFmtId="9" fontId="4" fillId="0" borderId="1" applyAlignment="1" pivotButton="0" quotePrefix="0" xfId="0">
      <alignment horizontal="center" vertical="center"/>
    </xf>
  </cellXfs>
  <cellStyles count="1">
    <cellStyle name="Normal" xfId="0" builtinId="0" hidden="0"/>
  </cellStyles>
  <dxfs count="6">
    <dxf>
      <font>
        <name val="Arial"/>
        <b val="1"/>
        <color rgb="00006100"/>
        <sz val="10"/>
      </font>
      <fill>
        <patternFill patternType="solid">
          <bgColor rgb="00C6EFCE"/>
        </patternFill>
      </fill>
    </dxf>
    <dxf>
      <font>
        <name val="Arial"/>
        <b val="1"/>
        <color rgb="009C5700"/>
        <sz val="10"/>
      </font>
      <fill>
        <patternFill patternType="solid">
          <bgColor rgb="00FFEB9C"/>
        </patternFill>
      </fill>
    </dxf>
    <dxf>
      <font>
        <name val="Arial"/>
        <b val="1"/>
        <color rgb="00595959"/>
        <sz val="10"/>
      </font>
      <fill>
        <patternFill patternType="solid">
          <bgColor rgb="00F2F2F2"/>
        </patternFill>
      </fill>
    </dxf>
    <dxf>
      <font>
        <name val="Arial"/>
        <b val="1"/>
        <color rgb="009C0006"/>
        <sz val="10"/>
      </font>
      <fill>
        <patternFill patternType="solid">
          <bgColor rgb="00FFC7CE"/>
        </patternFill>
      </fill>
    </dxf>
    <dxf>
      <font>
        <name val="Arial"/>
        <b val="1"/>
        <color rgb="001F4E79"/>
        <sz val="10"/>
      </font>
      <fill>
        <patternFill patternType="solid">
          <bgColor rgb="00DDEBF7"/>
        </patternFill>
      </fill>
    </dxf>
    <dxf>
      <font>
        <name val="Arial"/>
        <b val="1"/>
        <color rgb="00A6A6A6"/>
        <sz val="10"/>
      </font>
      <fill>
        <patternFill patternType="solid">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56" customWidth="1" min="1" max="1"/>
    <col width="30" customWidth="1" min="2" max="2"/>
    <col width="16" customWidth="1" min="3" max="3"/>
    <col width="14" customWidth="1" min="4" max="4"/>
    <col width="14" customWidth="1" min="5" max="5"/>
  </cols>
  <sheetData>
    <row r="1">
      <c r="A1" s="1" t="inlineStr">
        <is>
          <t>LATAM Social - avance del alcance completo</t>
        </is>
      </c>
    </row>
    <row r="2">
      <c r="A2" s="2" t="inlineStr">
        <is>
          <t>Cifras al 2026-08-26. El estado de cada actividad se cambia en la hoja «Actividades»; todo lo de aqui se recalcula solo.</t>
        </is>
      </c>
    </row>
    <row r="3"/>
    <row r="4">
      <c r="A4" s="3" t="inlineStr">
        <is>
          <t>Avance global</t>
        </is>
      </c>
    </row>
    <row r="5">
      <c r="A5" s="4" t="inlineStr">
        <is>
          <t>Medida</t>
        </is>
      </c>
      <c r="B5" s="4" t="inlineStr">
        <is>
          <t>Valor</t>
        </is>
      </c>
    </row>
    <row r="6">
      <c r="A6" t="inlineStr">
        <is>
          <t>Avance por numero de actividades</t>
        </is>
      </c>
      <c r="B6" s="5">
        <f>IFERROR(SUMPRODUCT(Actividades!$H$2:$H$164,Actividades!$I$2:$I$164)/SUM(Actividades!$I$2:$I$164),0)</f>
        <v/>
      </c>
    </row>
    <row r="7">
      <c r="A7" t="inlineStr">
        <is>
          <t>Avance ponderado por esfuerzo estimado (semanas por ola)</t>
        </is>
      </c>
      <c r="B7" s="5">
        <f>IFERROR(SUMPRODUCT($B$22:$B$25,$C$22:$C$25)/SUM($C$22:$C$25),0)</f>
        <v/>
      </c>
    </row>
    <row r="8">
      <c r="A8" t="inlineStr">
        <is>
          <t>Actividades del alcance total</t>
        </is>
      </c>
      <c r="B8" s="6">
        <f>COUNTA(Actividades!$A$2:$A$164)</f>
        <v/>
      </c>
    </row>
    <row r="9">
      <c r="A9" t="inlineStr">
        <is>
          <t>Actividades que cuentan en el denominador</t>
        </is>
      </c>
      <c r="B9" s="6">
        <f>SUM(Actividades!$I$2:$I$164)</f>
        <v/>
      </c>
    </row>
    <row r="10"/>
    <row r="11">
      <c r="A11" s="3" t="inlineStr">
        <is>
          <t>Actividades por estado</t>
        </is>
      </c>
    </row>
    <row r="12">
      <c r="A12" s="4" t="inlineStr">
        <is>
          <t>Estado</t>
        </is>
      </c>
      <c r="B12" s="4" t="inlineStr">
        <is>
          <t>Cuantas</t>
        </is>
      </c>
      <c r="C12" s="4" t="inlineStr">
        <is>
          <t>% del total</t>
        </is>
      </c>
    </row>
    <row r="13">
      <c r="A13" s="7" t="inlineStr">
        <is>
          <t>Terminado</t>
        </is>
      </c>
      <c r="B13">
        <f>COUNTIF(Actividades!$G$2:$G$164,$A13)</f>
        <v/>
      </c>
      <c r="C13" s="8">
        <f>IFERROR($B13/COUNTA(Actividades!$A$2:$A$164),0)</f>
        <v/>
      </c>
    </row>
    <row r="14">
      <c r="A14" s="9" t="inlineStr">
        <is>
          <t>En curso</t>
        </is>
      </c>
      <c r="B14">
        <f>COUNTIF(Actividades!$G$2:$G$164,$A14)</f>
        <v/>
      </c>
      <c r="C14" s="8">
        <f>IFERROR($B14/COUNTA(Actividades!$A$2:$A$164),0)</f>
        <v/>
      </c>
    </row>
    <row r="15">
      <c r="A15" s="10" t="inlineStr">
        <is>
          <t>Pendiente</t>
        </is>
      </c>
      <c r="B15">
        <f>COUNTIF(Actividades!$G$2:$G$164,$A15)</f>
        <v/>
      </c>
      <c r="C15" s="8">
        <f>IFERROR($B15/COUNTA(Actividades!$A$2:$A$164),0)</f>
        <v/>
      </c>
    </row>
    <row r="16">
      <c r="A16" s="11" t="inlineStr">
        <is>
          <t>Bloqueado</t>
        </is>
      </c>
      <c r="B16">
        <f>COUNTIF(Actividades!$G$2:$G$164,$A16)</f>
        <v/>
      </c>
      <c r="C16" s="8">
        <f>IFERROR($B16/COUNTA(Actividades!$A$2:$A$164),0)</f>
        <v/>
      </c>
    </row>
    <row r="17">
      <c r="A17" s="12" t="inlineStr">
        <is>
          <t>Aplazado</t>
        </is>
      </c>
      <c r="B17">
        <f>COUNTIF(Actividades!$G$2:$G$164,$A17)</f>
        <v/>
      </c>
      <c r="C17" s="8">
        <f>IFERROR($B17/COUNTA(Actividades!$A$2:$A$164),0)</f>
        <v/>
      </c>
    </row>
    <row r="18">
      <c r="A18" s="13" t="inlineStr">
        <is>
          <t>No aplica</t>
        </is>
      </c>
      <c r="B18">
        <f>COUNTIF(Actividades!$G$2:$G$164,$A18)</f>
        <v/>
      </c>
      <c r="C18" s="8">
        <f>IFERROR($B18/COUNTA(Actividades!$A$2:$A$164),0)</f>
        <v/>
      </c>
    </row>
    <row r="19"/>
    <row r="20">
      <c r="A20" s="3" t="inlineStr">
        <is>
          <t>Avance por ola</t>
        </is>
      </c>
    </row>
    <row r="21">
      <c r="A21" s="4" t="inlineStr">
        <is>
          <t>Ola</t>
        </is>
      </c>
      <c r="B21" s="4" t="inlineStr">
        <is>
          <t>Avance</t>
        </is>
      </c>
      <c r="C21" s="4" t="inlineStr">
        <is>
          <t>Semanas est.</t>
        </is>
      </c>
      <c r="D21" s="4" t="inlineStr">
        <is>
          <t>Actividades</t>
        </is>
      </c>
      <c r="E21" s="4" t="inlineStr">
        <is>
          <t>Terminadas</t>
        </is>
      </c>
    </row>
    <row r="22">
      <c r="A22" t="inlineStr">
        <is>
          <t>Ola 0 - Fundaciones</t>
        </is>
      </c>
      <c r="B22" s="8">
        <f>IFERROR(SUMPRODUCT((Actividades!$B$2:$B$164=$A22)*Actividades!$H$2:$H$164*Actividades!$I$2:$I$164)/SUMPRODUCT((Actividades!$B$2:$B$164=$A22)*Actividades!$I$2:$I$164),0)</f>
        <v/>
      </c>
      <c r="C22" t="n">
        <v>8.5</v>
      </c>
      <c r="D22">
        <f>COUNTIF(Actividades!$B$2:$B$164,$A22)</f>
        <v/>
      </c>
      <c r="E22">
        <f>SUMPRODUCT((Actividades!$B$2:$B$164=$A22)*(Actividades!$G$2:$G$164="Terminado"))</f>
        <v/>
      </c>
    </row>
    <row r="23">
      <c r="A23" t="inlineStr">
        <is>
          <t>Ola 1 - MVP: operar sin Excel</t>
        </is>
      </c>
      <c r="B23" s="8">
        <f>IFERROR(SUMPRODUCT((Actividades!$B$2:$B$164=$A23)*Actividades!$H$2:$H$164*Actividades!$I$2:$I$164)/SUMPRODUCT((Actividades!$B$2:$B$164=$A23)*Actividades!$I$2:$I$164),0)</f>
        <v/>
      </c>
      <c r="C23" t="n">
        <v>12</v>
      </c>
      <c r="D23">
        <f>COUNTIF(Actividades!$B$2:$B$164,$A23)</f>
        <v/>
      </c>
      <c r="E23">
        <f>SUMPRODUCT((Actividades!$B$2:$B$164=$A23)*(Actividades!$G$2:$G$164="Terminado"))</f>
        <v/>
      </c>
    </row>
    <row r="24">
      <c r="A24" t="inlineStr">
        <is>
          <t>Ola 2 - Escalar comercialmente</t>
        </is>
      </c>
      <c r="B24" s="8">
        <f>IFERROR(SUMPRODUCT((Actividades!$B$2:$B$164=$A24)*Actividades!$H$2:$H$164*Actividades!$I$2:$I$164)/SUMPRODUCT((Actividades!$B$2:$B$164=$A24)*Actividades!$I$2:$I$164),0)</f>
        <v/>
      </c>
      <c r="C24" t="n">
        <v>14</v>
      </c>
      <c r="D24">
        <f>COUNTIF(Actividades!$B$2:$B$164,$A24)</f>
        <v/>
      </c>
      <c r="E24">
        <f>SUMPRODUCT((Actividades!$B$2:$B$164=$A24)*(Actividades!$G$2:$G$164="Terminado"))</f>
        <v/>
      </c>
    </row>
    <row r="25">
      <c r="A25" t="inlineStr">
        <is>
          <t>Ola 3 - Internacionalizar y endurecer</t>
        </is>
      </c>
      <c r="B25" s="8">
        <f>IFERROR(SUMPRODUCT((Actividades!$B$2:$B$164=$A25)*Actividades!$H$2:$H$164*Actividades!$I$2:$I$164)/SUMPRODUCT((Actividades!$B$2:$B$164=$A25)*Actividades!$I$2:$I$164),0)</f>
        <v/>
      </c>
      <c r="C25" t="n">
        <v>10</v>
      </c>
      <c r="D25">
        <f>COUNTIF(Actividades!$B$2:$B$164,$A25)</f>
        <v/>
      </c>
      <c r="E25">
        <f>SUMPRODUCT((Actividades!$B$2:$B$164=$A25)*(Actividades!$G$2:$G$164="Terminado"))</f>
        <v/>
      </c>
    </row>
    <row r="26"/>
    <row r="27">
      <c r="A27" s="3" t="inlineStr">
        <is>
          <t>Avance por fase</t>
        </is>
      </c>
    </row>
    <row r="28">
      <c r="A28" s="4" t="inlineStr">
        <is>
          <t>Fase</t>
        </is>
      </c>
      <c r="B28" s="4" t="inlineStr">
        <is>
          <t>Nombre</t>
        </is>
      </c>
      <c r="C28" s="4" t="inlineStr">
        <is>
          <t>Avance</t>
        </is>
      </c>
      <c r="D28" s="4" t="inlineStr">
        <is>
          <t>Actividades</t>
        </is>
      </c>
      <c r="E28" s="4" t="inlineStr">
        <is>
          <t>Terminadas</t>
        </is>
      </c>
    </row>
    <row r="29">
      <c r="A29" t="inlineStr">
        <is>
          <t>F0</t>
        </is>
      </c>
      <c r="B29" t="inlineStr">
        <is>
          <t>Discovery</t>
        </is>
      </c>
      <c r="C29" s="8">
        <f>IFERROR(SUMPRODUCT((Actividades!$C$2:$C$164=$A29)*Actividades!$H$2:$H$164*Actividades!$I$2:$I$164)/SUMPRODUCT((Actividades!$C$2:$C$164=$A29)*Actividades!$I$2:$I$164),0)</f>
        <v/>
      </c>
      <c r="D29">
        <f>COUNTIF(Actividades!$C$2:$C$164,$A29)</f>
        <v/>
      </c>
      <c r="E29">
        <f>SUMPRODUCT((Actividades!$C$2:$C$164=$A29)*(Actividades!$G$2:$G$164="Terminado"))</f>
        <v/>
      </c>
    </row>
    <row r="30">
      <c r="A30" t="inlineStr">
        <is>
          <t>F1</t>
        </is>
      </c>
      <c r="B30" t="inlineStr">
        <is>
          <t>Arquitectura y esqueleto</t>
        </is>
      </c>
      <c r="C30" s="8">
        <f>IFERROR(SUMPRODUCT((Actividades!$C$2:$C$164=$A30)*Actividades!$H$2:$H$164*Actividades!$I$2:$I$164)/SUMPRODUCT((Actividades!$C$2:$C$164=$A30)*Actividades!$I$2:$I$164),0)</f>
        <v/>
      </c>
      <c r="D30">
        <f>COUNTIF(Actividades!$C$2:$C$164,$A30)</f>
        <v/>
      </c>
      <c r="E30">
        <f>SUMPRODUCT((Actividades!$C$2:$C$164=$A30)*(Actividades!$G$2:$G$164="Terminado"))</f>
        <v/>
      </c>
    </row>
    <row r="31">
      <c r="A31" t="inlineStr">
        <is>
          <t>F2</t>
        </is>
      </c>
      <c r="B31" t="inlineStr">
        <is>
          <t>Modelo de datos</t>
        </is>
      </c>
      <c r="C31" s="8">
        <f>IFERROR(SUMPRODUCT((Actividades!$C$2:$C$164=$A31)*Actividades!$H$2:$H$164*Actividades!$I$2:$I$164)/SUMPRODUCT((Actividades!$C$2:$C$164=$A31)*Actividades!$I$2:$I$164),0)</f>
        <v/>
      </c>
      <c r="D31">
        <f>COUNTIF(Actividades!$C$2:$C$164,$A31)</f>
        <v/>
      </c>
      <c r="E31">
        <f>SUMPRODUCT((Actividades!$C$2:$C$164=$A31)*(Actividades!$G$2:$G$164="Terminado"))</f>
        <v/>
      </c>
    </row>
    <row r="32">
      <c r="A32" t="inlineStr">
        <is>
          <t>F3</t>
        </is>
      </c>
      <c r="B32" t="inlineStr">
        <is>
          <t>Design System y UX</t>
        </is>
      </c>
      <c r="C32" s="8">
        <f>IFERROR(SUMPRODUCT((Actividades!$C$2:$C$164=$A32)*Actividades!$H$2:$H$164*Actividades!$I$2:$I$164)/SUMPRODUCT((Actividades!$C$2:$C$164=$A32)*Actividades!$I$2:$I$164),0)</f>
        <v/>
      </c>
      <c r="D32">
        <f>COUNTIF(Actividades!$C$2:$C$164,$A32)</f>
        <v/>
      </c>
      <c r="E32">
        <f>SUMPRODUCT((Actividades!$C$2:$C$164=$A32)*(Actividades!$G$2:$G$164="Terminado"))</f>
        <v/>
      </c>
    </row>
    <row r="33">
      <c r="A33" t="inlineStr">
        <is>
          <t>F4</t>
        </is>
      </c>
      <c r="B33" t="inlineStr">
        <is>
          <t>Core tecnico</t>
        </is>
      </c>
      <c r="C33" s="8">
        <f>IFERROR(SUMPRODUCT((Actividades!$C$2:$C$164=$A33)*Actividades!$H$2:$H$164*Actividades!$I$2:$I$164)/SUMPRODUCT((Actividades!$C$2:$C$164=$A33)*Actividades!$I$2:$I$164),0)</f>
        <v/>
      </c>
      <c r="D33">
        <f>COUNTIF(Actividades!$C$2:$C$164,$A33)</f>
        <v/>
      </c>
      <c r="E33">
        <f>SUMPRODUCT((Actividades!$C$2:$C$164=$A33)*(Actividades!$G$2:$G$164="Terminado"))</f>
        <v/>
      </c>
    </row>
    <row r="34">
      <c r="A34" t="inlineStr">
        <is>
          <t>F5</t>
        </is>
      </c>
      <c r="B34" t="inlineStr">
        <is>
          <t>Adquisicion de creadores</t>
        </is>
      </c>
      <c r="C34" s="8">
        <f>IFERROR(SUMPRODUCT((Actividades!$C$2:$C$164=$A34)*Actividades!$H$2:$H$164*Actividades!$I$2:$I$164)/SUMPRODUCT((Actividades!$C$2:$C$164=$A34)*Actividades!$I$2:$I$164),0)</f>
        <v/>
      </c>
      <c r="D34">
        <f>COUNTIF(Actividades!$C$2:$C$164,$A34)</f>
        <v/>
      </c>
      <c r="E34">
        <f>SUMPRODUCT((Actividades!$C$2:$C$164=$A34)*(Actividades!$G$2:$G$164="Terminado"))</f>
        <v/>
      </c>
    </row>
    <row r="35">
      <c r="A35" t="inlineStr">
        <is>
          <t>F6</t>
        </is>
      </c>
      <c r="B35" t="inlineStr">
        <is>
          <t>Portal del creador</t>
        </is>
      </c>
      <c r="C35" s="8">
        <f>IFERROR(SUMPRODUCT((Actividades!$C$2:$C$164=$A35)*Actividades!$H$2:$H$164*Actividades!$I$2:$I$164)/SUMPRODUCT((Actividades!$C$2:$C$164=$A35)*Actividades!$I$2:$I$164),0)</f>
        <v/>
      </c>
      <c r="D35">
        <f>COUNTIF(Actividades!$C$2:$C$164,$A35)</f>
        <v/>
      </c>
      <c r="E35">
        <f>SUMPRODUCT((Actividades!$C$2:$C$164=$A35)*(Actividades!$G$2:$G$164="Terminado"))</f>
        <v/>
      </c>
    </row>
    <row r="36">
      <c r="A36" t="inlineStr">
        <is>
          <t>F7</t>
        </is>
      </c>
      <c r="B36" t="inlineStr">
        <is>
          <t>Motor de campana</t>
        </is>
      </c>
      <c r="C36" s="8">
        <f>IFERROR(SUMPRODUCT((Actividades!$C$2:$C$164=$A36)*Actividades!$H$2:$H$164*Actividades!$I$2:$I$164)/SUMPRODUCT((Actividades!$C$2:$C$164=$A36)*Actividades!$I$2:$I$164),0)</f>
        <v/>
      </c>
      <c r="D36">
        <f>COUNTIF(Actividades!$C$2:$C$164,$A36)</f>
        <v/>
      </c>
      <c r="E36">
        <f>SUMPRODUCT((Actividades!$C$2:$C$164=$A36)*(Actividades!$G$2:$G$164="Terminado"))</f>
        <v/>
      </c>
    </row>
    <row r="37">
      <c r="A37" t="inlineStr">
        <is>
          <t>F8</t>
        </is>
      </c>
      <c r="B37" t="inlineStr">
        <is>
          <t>Contenido, revision y evidencia</t>
        </is>
      </c>
      <c r="C37" s="8">
        <f>IFERROR(SUMPRODUCT((Actividades!$C$2:$C$164=$A37)*Actividades!$H$2:$H$164*Actividades!$I$2:$I$164)/SUMPRODUCT((Actividades!$C$2:$C$164=$A37)*Actividades!$I$2:$I$164),0)</f>
        <v/>
      </c>
      <c r="D37">
        <f>COUNTIF(Actividades!$C$2:$C$164,$A37)</f>
        <v/>
      </c>
      <c r="E37">
        <f>SUMPRODUCT((Actividades!$C$2:$C$164=$A37)*(Actividades!$G$2:$G$164="Terminado"))</f>
        <v/>
      </c>
    </row>
    <row r="38">
      <c r="A38" t="inlineStr">
        <is>
          <t>F9</t>
        </is>
      </c>
      <c r="B38" t="inlineStr">
        <is>
          <t>Finanzas</t>
        </is>
      </c>
      <c r="C38" s="8">
        <f>IFERROR(SUMPRODUCT((Actividades!$C$2:$C$164=$A38)*Actividades!$H$2:$H$164*Actividades!$I$2:$I$164)/SUMPRODUCT((Actividades!$C$2:$C$164=$A38)*Actividades!$I$2:$I$164),0)</f>
        <v/>
      </c>
      <c r="D38">
        <f>COUNTIF(Actividades!$C$2:$C$164,$A38)</f>
        <v/>
      </c>
      <c r="E38">
        <f>SUMPRODUCT((Actividades!$C$2:$C$164=$A38)*(Actividades!$G$2:$G$164="Terminado"))</f>
        <v/>
      </c>
    </row>
    <row r="39">
      <c r="A39" t="inlineStr">
        <is>
          <t>F10</t>
        </is>
      </c>
      <c r="B39" t="inlineStr">
        <is>
          <t>Medicion y reportes</t>
        </is>
      </c>
      <c r="C39" s="8">
        <f>IFERROR(SUMPRODUCT((Actividades!$C$2:$C$164=$A39)*Actividades!$H$2:$H$164*Actividades!$I$2:$I$164)/SUMPRODUCT((Actividades!$C$2:$C$164=$A39)*Actividades!$I$2:$I$164),0)</f>
        <v/>
      </c>
      <c r="D39">
        <f>COUNTIF(Actividades!$C$2:$C$164,$A39)</f>
        <v/>
      </c>
      <c r="E39">
        <f>SUMPRODUCT((Actividades!$C$2:$C$164=$A39)*(Actividades!$G$2:$G$164="Terminado"))</f>
        <v/>
      </c>
    </row>
    <row r="40">
      <c r="A40" t="inlineStr">
        <is>
          <t>F11</t>
        </is>
      </c>
      <c r="B40" t="inlineStr">
        <is>
          <t>Adquisicion de marcas y CRM</t>
        </is>
      </c>
      <c r="C40" s="8">
        <f>IFERROR(SUMPRODUCT((Actividades!$C$2:$C$164=$A40)*Actividades!$H$2:$H$164*Actividades!$I$2:$I$164)/SUMPRODUCT((Actividades!$C$2:$C$164=$A40)*Actividades!$I$2:$I$164),0)</f>
        <v/>
      </c>
      <c r="D40">
        <f>COUNTIF(Actividades!$C$2:$C$164,$A40)</f>
        <v/>
      </c>
      <c r="E40">
        <f>SUMPRODUCT((Actividades!$C$2:$C$164=$A40)*(Actividades!$G$2:$G$164="Terminado"))</f>
        <v/>
      </c>
    </row>
    <row r="41">
      <c r="A41" t="inlineStr">
        <is>
          <t>F12</t>
        </is>
      </c>
      <c r="B41" t="inlineStr">
        <is>
          <t>Integraciones</t>
        </is>
      </c>
      <c r="C41" s="8">
        <f>IFERROR(SUMPRODUCT((Actividades!$C$2:$C$164=$A41)*Actividades!$H$2:$H$164*Actividades!$I$2:$I$164)/SUMPRODUCT((Actividades!$C$2:$C$164=$A41)*Actividades!$I$2:$I$164),0)</f>
        <v/>
      </c>
      <c r="D41">
        <f>COUNTIF(Actividades!$C$2:$C$164,$A41)</f>
        <v/>
      </c>
      <c r="E41">
        <f>SUMPRODUCT((Actividades!$C$2:$C$164=$A41)*(Actividades!$G$2:$G$164="Terminado"))</f>
        <v/>
      </c>
    </row>
    <row r="42">
      <c r="A42" t="inlineStr">
        <is>
          <t>F13</t>
        </is>
      </c>
      <c r="B42" t="inlineStr">
        <is>
          <t>Portal de la marca</t>
        </is>
      </c>
      <c r="C42" s="8">
        <f>IFERROR(SUMPRODUCT((Actividades!$C$2:$C$164=$A42)*Actividades!$H$2:$H$164*Actividades!$I$2:$I$164)/SUMPRODUCT((Actividades!$C$2:$C$164=$A42)*Actividades!$I$2:$I$164),0)</f>
        <v/>
      </c>
      <c r="D42">
        <f>COUNTIF(Actividades!$C$2:$C$164,$A42)</f>
        <v/>
      </c>
      <c r="E42">
        <f>SUMPRODUCT((Actividades!$C$2:$C$164=$A42)*(Actividades!$G$2:$G$164="Terminado"))</f>
        <v/>
      </c>
    </row>
    <row r="43">
      <c r="A43" t="inlineStr">
        <is>
          <t>F14</t>
        </is>
      </c>
      <c r="B43" t="inlineStr">
        <is>
          <t>Creator Intelligence</t>
        </is>
      </c>
      <c r="C43" s="8">
        <f>IFERROR(SUMPRODUCT((Actividades!$C$2:$C$164=$A43)*Actividades!$H$2:$H$164*Actividades!$I$2:$I$164)/SUMPRODUCT((Actividades!$C$2:$C$164=$A43)*Actividades!$I$2:$I$164),0)</f>
        <v/>
      </c>
      <c r="D43">
        <f>COUNTIF(Actividades!$C$2:$C$164,$A43)</f>
        <v/>
      </c>
      <c r="E43">
        <f>SUMPRODUCT((Actividades!$C$2:$C$164=$A43)*(Actividades!$G$2:$G$164="Terminado"))</f>
        <v/>
      </c>
    </row>
    <row r="44">
      <c r="A44" t="inlineStr">
        <is>
          <t>F15</t>
        </is>
      </c>
      <c r="B44" t="inlineStr">
        <is>
          <t>Internacionalizacion real</t>
        </is>
      </c>
      <c r="C44" s="8">
        <f>IFERROR(SUMPRODUCT((Actividades!$C$2:$C$164=$A44)*Actividades!$H$2:$H$164*Actividades!$I$2:$I$164)/SUMPRODUCT((Actividades!$C$2:$C$164=$A44)*Actividades!$I$2:$I$164),0)</f>
        <v/>
      </c>
      <c r="D44">
        <f>COUNTIF(Actividades!$C$2:$C$164,$A44)</f>
        <v/>
      </c>
      <c r="E44">
        <f>SUMPRODUCT((Actividades!$C$2:$C$164=$A44)*(Actividades!$G$2:$G$164="Terminado"))</f>
        <v/>
      </c>
    </row>
    <row r="45">
      <c r="A45" t="inlineStr">
        <is>
          <t>F16</t>
        </is>
      </c>
      <c r="B45" t="inlineStr">
        <is>
          <t>Hardening</t>
        </is>
      </c>
      <c r="C45" s="8">
        <f>IFERROR(SUMPRODUCT((Actividades!$C$2:$C$164=$A45)*Actividades!$H$2:$H$164*Actividades!$I$2:$I$164)/SUMPRODUCT((Actividades!$C$2:$C$164=$A45)*Actividades!$I$2:$I$164),0)</f>
        <v/>
      </c>
      <c r="D45">
        <f>COUNTIF(Actividades!$C$2:$C$164,$A45)</f>
        <v/>
      </c>
      <c r="E45">
        <f>SUMPRODUCT((Actividades!$C$2:$C$164=$A45)*(Actividades!$G$2:$G$164="Terminado"))</f>
        <v/>
      </c>
    </row>
    <row r="46">
      <c r="A46" t="inlineStr">
        <is>
          <t>F17</t>
        </is>
      </c>
      <c r="B46" t="inlineStr">
        <is>
          <t>Produccion</t>
        </is>
      </c>
      <c r="C46" s="8">
        <f>IFERROR(SUMPRODUCT((Actividades!$C$2:$C$164=$A46)*Actividades!$H$2:$H$164*Actividades!$I$2:$I$164)/SUMPRODUCT((Actividades!$C$2:$C$164=$A46)*Actividades!$I$2:$I$164),0)</f>
        <v/>
      </c>
      <c r="D46">
        <f>COUNTIF(Actividades!$C$2:$C$164,$A46)</f>
        <v/>
      </c>
      <c r="E46">
        <f>SUMPRODUCT((Actividades!$C$2:$C$164=$A46)*(Actividades!$G$2:$G$164="Terminado"))</f>
        <v/>
      </c>
    </row>
    <row r="47"/>
    <row r="48">
      <c r="A48" s="3" t="inlineStr">
        <is>
          <t>Como leer esto</t>
        </is>
      </c>
    </row>
    <row r="49" ht="28" customHeight="1">
      <c r="A49" s="14" t="inlineStr">
        <is>
          <t>- El primer numero cuenta ACTIVIDADES, no semanas. Las que quedan son de media mas grandes que las hechas: finanzas, integraciones y los dos portales son fases enteras sin empezar.</t>
        </is>
      </c>
    </row>
    <row r="50" ht="28" customHeight="1">
      <c r="A50" s="14" t="inlineStr">
        <is>
          <t>- El segundo numero pondera cada ola por su estimacion de esfuerzo del propio roadmap, y es el mas honesto de los dos.</t>
        </is>
      </c>
    </row>
    <row r="51" ht="28" customHeight="1">
      <c r="A51" s="14"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8" customHeight="1">
      <c r="A52" s="14" t="inlineStr">
        <is>
          <t>- «En curso» cuenta como medio. Si prefiere una lectura conservadora, ponga el peso de «En curso» a 0% en la hoja Config y todo se recalcula.</t>
        </is>
      </c>
    </row>
    <row r="53" ht="28" customHeight="1">
      <c r="A53" s="14" t="inlineStr">
        <is>
          <t>- Para cambiar un estado: hoja «Actividades», columna Estado, lista desplegable. No toque las columnas Avance ni Cuenta: son formulas.</t>
        </is>
      </c>
    </row>
  </sheetData>
  <mergeCells count="5">
    <mergeCell ref="A53:E53"/>
    <mergeCell ref="A50:E50"/>
    <mergeCell ref="A52:E52"/>
    <mergeCell ref="A49:E49"/>
    <mergeCell ref="A51:E5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0" customWidth="1" min="1" max="1"/>
    <col width="12" customWidth="1" min="2" max="2"/>
    <col width="20" customWidth="1" min="3" max="3"/>
    <col width="95" customWidth="1" min="4" max="4"/>
  </cols>
  <sheetData>
    <row r="1">
      <c r="A1" s="15" t="inlineStr">
        <is>
          <t>Estados y su peso en el avance</t>
        </is>
      </c>
    </row>
    <row r="2">
      <c r="A2" s="16" t="inlineStr">
        <is>
          <t>Estado</t>
        </is>
      </c>
      <c r="B2" s="16" t="inlineStr">
        <is>
          <t>Peso</t>
        </is>
      </c>
      <c r="C2" s="16" t="inlineStr">
        <is>
          <t>Cuenta en el total</t>
        </is>
      </c>
      <c r="D2" s="16" t="inlineStr">
        <is>
          <t>Que significa</t>
        </is>
      </c>
    </row>
    <row r="3">
      <c r="A3" s="17" t="inlineStr">
        <is>
          <t>Terminado</t>
        </is>
      </c>
      <c r="B3" s="18" t="n">
        <v>1</v>
      </c>
      <c r="C3" s="17" t="n">
        <v>1</v>
      </c>
      <c r="D3" s="17" t="inlineStr">
        <is>
          <t>Entregado, verificado y con su documento de iteracion cerrado.</t>
        </is>
      </c>
    </row>
    <row r="4">
      <c r="A4" s="17" t="inlineStr">
        <is>
          <t>En curso</t>
        </is>
      </c>
      <c r="B4" s="18" t="n">
        <v>0.5</v>
      </c>
      <c r="C4" s="17" t="n">
        <v>1</v>
      </c>
      <c r="D4" s="17" t="inlineStr">
        <is>
          <t>Hay trabajo hecho y demostrable, pero la actividad no esta completa. Cuenta como medio.</t>
        </is>
      </c>
    </row>
    <row r="5">
      <c r="A5" s="17" t="inlineStr">
        <is>
          <t>Pendiente</t>
        </is>
      </c>
      <c r="B5" s="18" t="n">
        <v>0</v>
      </c>
      <c r="C5" s="17" t="n">
        <v>1</v>
      </c>
      <c r="D5" s="17" t="inlineStr">
        <is>
          <t>No empezada.</t>
        </is>
      </c>
    </row>
    <row r="6">
      <c r="A6" s="17" t="inlineStr">
        <is>
          <t>Bloqueado</t>
        </is>
      </c>
      <c r="B6" s="18" t="n">
        <v>0</v>
      </c>
      <c r="C6" s="17" t="n">
        <v>1</v>
      </c>
      <c r="D6" s="17" t="inlineStr">
        <is>
          <t>No se puede avanzar sin una decision externa (contador, abogado, proveedor).</t>
        </is>
      </c>
    </row>
    <row r="7">
      <c r="A7" s="17" t="inlineStr">
        <is>
          <t>Aplazado</t>
        </is>
      </c>
      <c r="B7" s="18" t="n">
        <v>0</v>
      </c>
      <c r="C7" s="17" t="n">
        <v>0</v>
      </c>
      <c r="D7" s="17" t="inlineStr">
        <is>
          <t>Movida a proposito a otro momento del plan. NO cuenta en el denominador para no contarla dos veces.</t>
        </is>
      </c>
    </row>
    <row r="8">
      <c r="A8" s="17" t="inlineStr">
        <is>
          <t>No aplica</t>
        </is>
      </c>
      <c r="B8" s="18" t="n">
        <v>0</v>
      </c>
      <c r="C8" s="17" t="n">
        <v>0</v>
      </c>
      <c r="D8" s="17" t="inlineStr">
        <is>
          <t>Descartada del alcance. No cuenta en el denominador.</t>
        </is>
      </c>
    </row>
    <row r="9">
      <c r="A9" s="17" t="n"/>
      <c r="B9" s="17" t="n"/>
      <c r="C9" s="17" t="n"/>
      <c r="D9" s="17" t="n"/>
    </row>
    <row r="10">
      <c r="A10" s="17" t="n"/>
      <c r="B10" s="17" t="n"/>
      <c r="C10" s="17" t="n"/>
      <c r="D10" s="17" t="n"/>
    </row>
    <row r="11">
      <c r="A11" s="15" t="inlineStr">
        <is>
          <t>Esfuerzo estimado por ola (docs/04-ROADMAP, punto medio del rango)</t>
        </is>
      </c>
    </row>
    <row r="12">
      <c r="A12" s="16" t="inlineStr">
        <is>
          <t>Ola</t>
        </is>
      </c>
      <c r="B12" s="16" t="inlineStr">
        <is>
          <t>Semanas</t>
        </is>
      </c>
      <c r="C12" s="16" t="inlineStr">
        <is>
          <t>Rango original</t>
        </is>
      </c>
      <c r="D12" s="16" t="n"/>
    </row>
    <row r="13">
      <c r="A13" s="17" t="inlineStr">
        <is>
          <t>Ola 0 - Fundaciones</t>
        </is>
      </c>
      <c r="B13" s="17" t="n">
        <v>8.5</v>
      </c>
      <c r="C13" s="17" t="inlineStr">
        <is>
          <t>7 a 10 semanas</t>
        </is>
      </c>
      <c r="D13" s="17" t="n"/>
    </row>
    <row r="14">
      <c r="A14" s="17" t="inlineStr">
        <is>
          <t>Ola 1 - MVP: operar sin Excel</t>
        </is>
      </c>
      <c r="B14" s="17" t="n">
        <v>12</v>
      </c>
      <c r="C14" s="17" t="inlineStr">
        <is>
          <t>10 a 14 semanas</t>
        </is>
      </c>
      <c r="D14" s="17" t="n"/>
    </row>
    <row r="15">
      <c r="A15" s="17" t="inlineStr">
        <is>
          <t>Ola 2 - Escalar comercialmente</t>
        </is>
      </c>
      <c r="B15" s="17" t="n">
        <v>14</v>
      </c>
      <c r="C15" s="17" t="inlineStr">
        <is>
          <t>12 a 16 semanas</t>
        </is>
      </c>
      <c r="D15" s="17" t="n"/>
    </row>
    <row r="16">
      <c r="A16" s="17" t="inlineStr">
        <is>
          <t>Ola 3 - Internacionalizar y endurecer</t>
        </is>
      </c>
      <c r="B16" s="17" t="n">
        <v>10</v>
      </c>
      <c r="C16" s="17" t="inlineStr">
        <is>
          <t>8 a 12 semanas</t>
        </is>
      </c>
      <c r="D16" s="17" t="n"/>
    </row>
    <row r="17">
      <c r="A17" s="17" t="n"/>
      <c r="B17" s="17" t="n"/>
      <c r="C17" s="17" t="n"/>
      <c r="D17" s="17" t="n"/>
    </row>
    <row r="18">
      <c r="A18" s="17" t="n"/>
      <c r="B18" s="17" t="n"/>
      <c r="C18" s="17" t="n"/>
      <c r="D18" s="17" t="n"/>
    </row>
    <row r="19">
      <c r="A19" s="19" t="inlineStr">
        <is>
          <t>Estas semanas son para 2 desarrolladores a tiempo completo. Con 1 solo, el propio roadmap dice que hay que multiplicar por 1,7.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4"/>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7" customWidth="1" min="3" max="3"/>
    <col width="26" customWidth="1" min="4" max="4"/>
    <col width="7" customWidth="1" min="5" max="5"/>
    <col width="62" customWidth="1" min="6" max="6"/>
    <col width="14" customWidth="1" min="7" max="7"/>
    <col width="10" customWidth="1" min="8" max="8"/>
    <col width="9" customWidth="1" min="9" max="9"/>
    <col width="85" customWidth="1" min="10" max="10"/>
  </cols>
  <sheetData>
    <row r="1" ht="24" customHeight="1">
      <c r="A1" s="4" t="inlineStr">
        <is>
          <t>ID</t>
        </is>
      </c>
      <c r="B1" s="4" t="inlineStr">
        <is>
          <t>Ola</t>
        </is>
      </c>
      <c r="C1" s="4" t="inlineStr">
        <is>
          <t>Fase</t>
        </is>
      </c>
      <c r="D1" s="4" t="inlineStr">
        <is>
          <t>Nombre de fase</t>
        </is>
      </c>
      <c r="E1" s="4" t="inlineStr">
        <is>
          <t>It.</t>
        </is>
      </c>
      <c r="F1" s="4" t="inlineStr">
        <is>
          <t>Actividad</t>
        </is>
      </c>
      <c r="G1" s="4" t="inlineStr">
        <is>
          <t>Estado</t>
        </is>
      </c>
      <c r="H1" s="4" t="inlineStr">
        <is>
          <t>Avance</t>
        </is>
      </c>
      <c r="I1" s="4" t="inlineStr">
        <is>
          <t>Cuenta</t>
        </is>
      </c>
      <c r="J1" s="4" t="inlineStr">
        <is>
          <t>Notas y evidencia</t>
        </is>
      </c>
    </row>
    <row r="2">
      <c r="A2" s="20" t="n">
        <v>1</v>
      </c>
      <c r="B2" s="20" t="inlineStr">
        <is>
          <t>Ola 0 - Fundaciones</t>
        </is>
      </c>
      <c r="C2" s="20" t="inlineStr">
        <is>
          <t>F0</t>
        </is>
      </c>
      <c r="D2" s="20" t="inlineStr">
        <is>
          <t>Discovery</t>
        </is>
      </c>
      <c r="E2" s="21" t="inlineStr">
        <is>
          <t>0.1</t>
        </is>
      </c>
      <c r="F2" s="22" t="inlineStr">
        <is>
          <t>Definicion de producto, actores, dominios, modulos, procesos, arquitectura, roadmap, decision log, business rules, DoD</t>
        </is>
      </c>
      <c r="G2" s="23" t="inlineStr">
        <is>
          <t>Terminado</t>
        </is>
      </c>
      <c r="H2" s="24">
        <f>IFERROR(INDEX(Config!$B$3:$B$8,MATCH($G2,Config!$A$3:$A$8,0)),0)</f>
        <v/>
      </c>
      <c r="I2" s="23">
        <f>IFERROR(INDEX(Config!$C$3:$C$8,MATCH($G2,Config!$A$3:$A$8,0)),0)</f>
        <v/>
      </c>
      <c r="J2" s="22" t="inlineStr">
        <is>
          <t>18 documentos en docs/. DEC-001 a DEC-098 registradas</t>
        </is>
      </c>
    </row>
    <row r="3">
      <c r="A3" s="20" t="n">
        <v>2</v>
      </c>
      <c r="B3" s="20" t="inlineStr">
        <is>
          <t>Ola 0 - Fundaciones</t>
        </is>
      </c>
      <c r="C3" s="20" t="inlineStr">
        <is>
          <t>F1</t>
        </is>
      </c>
      <c r="D3" s="20" t="inlineStr">
        <is>
          <t>Arquitectura y esqueleto</t>
        </is>
      </c>
      <c r="E3" s="21" t="inlineStr">
        <is>
          <t>1.1</t>
        </is>
      </c>
      <c r="F3" s="22" t="inlineStr">
        <is>
          <t>Stack, hosting y proveedores definitivos (SMTP, storage, error tracking)</t>
        </is>
      </c>
      <c r="G3" s="23" t="inlineStr">
        <is>
          <t>En curso</t>
        </is>
      </c>
      <c r="H3" s="24">
        <f>IFERROR(INDEX(Config!$B$3:$B$8,MATCH($G3,Config!$A$3:$A$8,0)),0)</f>
        <v/>
      </c>
      <c r="I3" s="23">
        <f>IFERROR(INDEX(Config!$C$3:$C$8,MATCH($G3,Config!$A$3:$A$8,0)),0)</f>
        <v/>
      </c>
      <c r="J3" s="22" t="inlineStr">
        <is>
          <t>Stack cerrado (Laravel 12 / PHP 8.3 / MySQL-Percona). Hosting: solicitud redactada en tools/solicitud-hosting-mysql8.md, sin contratar. SMTP, S3 y error tracking sin proveedor</t>
        </is>
      </c>
    </row>
    <row r="4">
      <c r="A4" s="20" t="n">
        <v>3</v>
      </c>
      <c r="B4" s="20" t="inlineStr">
        <is>
          <t>Ola 0 - Fundaciones</t>
        </is>
      </c>
      <c r="C4" s="20" t="inlineStr">
        <is>
          <t>F1</t>
        </is>
      </c>
      <c r="D4" s="20" t="inlineStr">
        <is>
          <t>Arquitectura y esqueleto</t>
        </is>
      </c>
      <c r="E4" s="21" t="inlineStr">
        <is>
          <t>1.2</t>
        </is>
      </c>
      <c r="F4" s="22" t="inlineStr">
        <is>
          <t>Esqueleto del proyecto, estructura de modulos, Composer, .env.example</t>
        </is>
      </c>
      <c r="G4" s="23" t="inlineStr">
        <is>
          <t>Terminado</t>
        </is>
      </c>
      <c r="H4" s="24">
        <f>IFERROR(INDEX(Config!$B$3:$B$8,MATCH($G4,Config!$A$3:$A$8,0)),0)</f>
        <v/>
      </c>
      <c r="I4" s="23">
        <f>IFERROR(INDEX(Config!$C$3:$C$8,MATCH($G4,Config!$A$3:$A$8,0)),0)</f>
        <v/>
      </c>
      <c r="J4" s="22" t="inlineStr">
        <is>
          <t>13 contextos + Shared. .env.example en el repo</t>
        </is>
      </c>
    </row>
    <row r="5">
      <c r="A5" s="20" t="n">
        <v>4</v>
      </c>
      <c r="B5" s="20" t="inlineStr">
        <is>
          <t>Ola 0 - Fundaciones</t>
        </is>
      </c>
      <c r="C5" s="20" t="inlineStr">
        <is>
          <t>F1</t>
        </is>
      </c>
      <c r="D5" s="20" t="inlineStr">
        <is>
          <t>Arquitectura y esqueleto</t>
        </is>
      </c>
      <c r="E5" s="21" t="inlineStr">
        <is>
          <t>1.3</t>
        </is>
      </c>
      <c r="F5" s="22" t="inlineStr">
        <is>
          <t>CI: lint, analisis estatico, pruebas, Deptrac (fronteras de modulos)</t>
        </is>
      </c>
      <c r="G5" s="23" t="inlineStr">
        <is>
          <t>Terminado</t>
        </is>
      </c>
      <c r="H5" s="24">
        <f>IFERROR(INDEX(Config!$B$3:$B$8,MATCH($G5,Config!$A$3:$A$8,0)),0)</f>
        <v/>
      </c>
      <c r="I5" s="23">
        <f>IFERROR(INDEX(Config!$C$3:$C$8,MATCH($G5,Config!$A$3:$A$8,0)),0)</f>
        <v/>
      </c>
      <c r="J5" s="22" t="inlineStr">
        <is>
          <t>Seis puertas en verde: Pint, PHPStan, Deptrac, PHPUnit, vigencias, nombres entre capas. .github/workflows/ci.yml</t>
        </is>
      </c>
    </row>
    <row r="6">
      <c r="A6" s="20" t="n">
        <v>5</v>
      </c>
      <c r="B6" s="20" t="inlineStr">
        <is>
          <t>Ola 0 - Fundaciones</t>
        </is>
      </c>
      <c r="C6" s="20" t="inlineStr">
        <is>
          <t>F1</t>
        </is>
      </c>
      <c r="D6" s="20" t="inlineStr">
        <is>
          <t>Arquitectura y esqueleto</t>
        </is>
      </c>
      <c r="E6" s="21" t="inlineStr">
        <is>
          <t>1.4</t>
        </is>
      </c>
      <c r="F6" s="22" t="inlineStr">
        <is>
          <t>Convenciones: naming, commits, ramas, PR template, ADRs</t>
        </is>
      </c>
      <c r="G6" s="23" t="inlineStr">
        <is>
          <t>Terminado</t>
        </is>
      </c>
      <c r="H6" s="24">
        <f>IFERROR(INDEX(Config!$B$3:$B$8,MATCH($G6,Config!$A$3:$A$8,0)),0)</f>
        <v/>
      </c>
      <c r="I6" s="23">
        <f>IFERROR(INDEX(Config!$C$3:$C$8,MATCH($G6,Config!$A$3:$A$8,0)),0)</f>
        <v/>
      </c>
      <c r="J6" s="22" t="inlineStr">
        <is>
          <t>CONTRIBUTING.md + docs/03-ARCHITECTURE.md. Las decisiones van al DECISION LOG (DEC-nnn), no a ADRs sueltos</t>
        </is>
      </c>
    </row>
    <row r="7">
      <c r="A7" s="20" t="n">
        <v>6</v>
      </c>
      <c r="B7" s="20" t="inlineStr">
        <is>
          <t>Ola 0 - Fundaciones</t>
        </is>
      </c>
      <c r="C7" s="20" t="inlineStr">
        <is>
          <t>F2</t>
        </is>
      </c>
      <c r="D7" s="20" t="inlineStr">
        <is>
          <t>Modelo de datos</t>
        </is>
      </c>
      <c r="E7" s="21" t="inlineStr">
        <is>
          <t>2.1</t>
        </is>
      </c>
      <c r="F7" s="22" t="inlineStr">
        <is>
          <t>Entidades y glosario de negocio</t>
        </is>
      </c>
      <c r="G7" s="23" t="inlineStr">
        <is>
          <t>Terminado</t>
        </is>
      </c>
      <c r="H7" s="24">
        <f>IFERROR(INDEX(Config!$B$3:$B$8,MATCH($G7,Config!$A$3:$A$8,0)),0)</f>
        <v/>
      </c>
      <c r="I7" s="23">
        <f>IFERROR(INDEX(Config!$C$3:$C$8,MATCH($G7,Config!$A$3:$A$8,0)),0)</f>
        <v/>
      </c>
      <c r="J7" s="22" t="inlineStr">
        <is>
          <t>docs/fase-2/2.1</t>
        </is>
      </c>
    </row>
    <row r="8">
      <c r="A8" s="20" t="n">
        <v>7</v>
      </c>
      <c r="B8" s="20" t="inlineStr">
        <is>
          <t>Ola 0 - Fundaciones</t>
        </is>
      </c>
      <c r="C8" s="20" t="inlineStr">
        <is>
          <t>F2</t>
        </is>
      </c>
      <c r="D8" s="20" t="inlineStr">
        <is>
          <t>Modelo de datos</t>
        </is>
      </c>
      <c r="E8" s="21" t="inlineStr">
        <is>
          <t>2.2</t>
        </is>
      </c>
      <c r="F8" s="22" t="inlineStr">
        <is>
          <t>Relaciones y cardinalidades</t>
        </is>
      </c>
      <c r="G8" s="23" t="inlineStr">
        <is>
          <t>Terminado</t>
        </is>
      </c>
      <c r="H8" s="24">
        <f>IFERROR(INDEX(Config!$B$3:$B$8,MATCH($G8,Config!$A$3:$A$8,0)),0)</f>
        <v/>
      </c>
      <c r="I8" s="23">
        <f>IFERROR(INDEX(Config!$C$3:$C$8,MATCH($G8,Config!$A$3:$A$8,0)),0)</f>
        <v/>
      </c>
      <c r="J8" s="22" t="inlineStr">
        <is>
          <t>docs/fase-2/2.2</t>
        </is>
      </c>
    </row>
    <row r="9">
      <c r="A9" s="20" t="n">
        <v>8</v>
      </c>
      <c r="B9" s="20" t="inlineStr">
        <is>
          <t>Ola 0 - Fundaciones</t>
        </is>
      </c>
      <c r="C9" s="20" t="inlineStr">
        <is>
          <t>F2</t>
        </is>
      </c>
      <c r="D9" s="20" t="inlineStr">
        <is>
          <t>Modelo de datos</t>
        </is>
      </c>
      <c r="E9" s="21" t="inlineStr">
        <is>
          <t>2.3</t>
        </is>
      </c>
      <c r="F9" s="22" t="inlineStr">
        <is>
          <t>Normalizacion y separacion aplicacion/creador, cliente/marca/contacto</t>
        </is>
      </c>
      <c r="G9" s="23" t="inlineStr">
        <is>
          <t>Terminado</t>
        </is>
      </c>
      <c r="H9" s="24">
        <f>IFERROR(INDEX(Config!$B$3:$B$8,MATCH($G9,Config!$A$3:$A$8,0)),0)</f>
        <v/>
      </c>
      <c r="I9" s="23">
        <f>IFERROR(INDEX(Config!$C$3:$C$8,MATCH($G9,Config!$A$3:$A$8,0)),0)</f>
        <v/>
      </c>
      <c r="J9" s="22" t="inlineStr">
        <is>
          <t>docs/fase-2/2.3. Incluye N-03, implementada en 7.3</t>
        </is>
      </c>
    </row>
    <row r="10">
      <c r="A10" s="20" t="n">
        <v>9</v>
      </c>
      <c r="B10" s="20" t="inlineStr">
        <is>
          <t>Ola 0 - Fundaciones</t>
        </is>
      </c>
      <c r="C10" s="20" t="inlineStr">
        <is>
          <t>F2</t>
        </is>
      </c>
      <c r="D10" s="20" t="inlineStr">
        <is>
          <t>Modelo de datos</t>
        </is>
      </c>
      <c r="E10" s="21" t="inlineStr">
        <is>
          <t>2.4</t>
        </is>
      </c>
      <c r="F10" s="22" t="inlineStr">
        <is>
          <t>Estados, transiciones e historicos</t>
        </is>
      </c>
      <c r="G10" s="23" t="inlineStr">
        <is>
          <t>Terminado</t>
        </is>
      </c>
      <c r="H10" s="24">
        <f>IFERROR(INDEX(Config!$B$3:$B$8,MATCH($G10,Config!$A$3:$A$8,0)),0)</f>
        <v/>
      </c>
      <c r="I10" s="23">
        <f>IFERROR(INDEX(Config!$C$3:$C$8,MATCH($G10,Config!$A$3:$A$8,0)),0)</f>
        <v/>
      </c>
      <c r="J10" s="22" t="inlineStr">
        <is>
          <t>docs/fase-2/2.4 y 2.5. Tabla status_transitions + maquinas de estado en codigo</t>
        </is>
      </c>
    </row>
    <row r="11">
      <c r="A11" s="20" t="n">
        <v>10</v>
      </c>
      <c r="B11" s="20" t="inlineStr">
        <is>
          <t>Ola 0 - Fundaciones</t>
        </is>
      </c>
      <c r="C11" s="20" t="inlineStr">
        <is>
          <t>F2</t>
        </is>
      </c>
      <c r="D11" s="20" t="inlineStr">
        <is>
          <t>Modelo de datos</t>
        </is>
      </c>
      <c r="E11" s="21" t="inlineStr">
        <is>
          <t>2.5</t>
        </is>
      </c>
      <c r="F11" s="22" t="inlineStr">
        <is>
          <t>Finanzas: ledger, monedas, impuestos, retenciones, facturacion</t>
        </is>
      </c>
      <c r="G11" s="23" t="inlineStr">
        <is>
          <t>Terminado</t>
        </is>
      </c>
      <c r="H11" s="24">
        <f>IFERROR(INDEX(Config!$B$3:$B$8,MATCH($G11,Config!$A$3:$A$8,0)),0)</f>
        <v/>
      </c>
      <c r="I11" s="23">
        <f>IFERROR(INDEX(Config!$C$3:$C$8,MATCH($G11,Config!$A$3:$A$8,0)),0)</f>
        <v/>
      </c>
      <c r="J11" s="22" t="inlineStr">
        <is>
          <t>docs/fase-2/2.13 y 2.15. DISENO cerrado; la construccion es F9</t>
        </is>
      </c>
    </row>
    <row r="12">
      <c r="A12" s="20" t="n">
        <v>11</v>
      </c>
      <c r="B12" s="20" t="inlineStr">
        <is>
          <t>Ola 0 - Fundaciones</t>
        </is>
      </c>
      <c r="C12" s="20" t="inlineStr">
        <is>
          <t>F2</t>
        </is>
      </c>
      <c r="D12" s="20" t="inlineStr">
        <is>
          <t>Modelo de datos</t>
        </is>
      </c>
      <c r="E12" s="21" t="inlineStr">
        <is>
          <t>2.6</t>
        </is>
      </c>
      <c r="F12" s="22" t="inlineStr">
        <is>
          <t>Multi-entidad legal: marcas de plataforma, entidades legales, cobertura con vigencia, series, cuentas</t>
        </is>
      </c>
      <c r="G12" s="23" t="inlineStr">
        <is>
          <t>Terminado</t>
        </is>
      </c>
      <c r="H12" s="24">
        <f>IFERROR(INDEX(Config!$B$3:$B$8,MATCH($G12,Config!$A$3:$A$8,0)),0)</f>
        <v/>
      </c>
      <c r="I12" s="23">
        <f>IFERROR(INDEX(Config!$C$3:$C$8,MATCH($G12,Config!$A$3:$A$8,0)),0)</f>
        <v/>
      </c>
      <c r="J12" s="22" t="inlineStr">
        <is>
          <t>docs/fase-2/2.10. Construido en 4.5b</t>
        </is>
      </c>
    </row>
    <row r="13">
      <c r="A13" s="20" t="n">
        <v>12</v>
      </c>
      <c r="B13" s="20" t="inlineStr">
        <is>
          <t>Ola 0 - Fundaciones</t>
        </is>
      </c>
      <c r="C13" s="20" t="inlineStr">
        <is>
          <t>F2</t>
        </is>
      </c>
      <c r="D13" s="20" t="inlineStr">
        <is>
          <t>Modelo de datos</t>
        </is>
      </c>
      <c r="E13" s="21" t="inlineStr">
        <is>
          <t>2.7</t>
        </is>
      </c>
      <c r="F13" s="22" t="inlineStr">
        <is>
          <t>Integraciones: proveedores, conexiones, asignaciones con vigencia, credenciales, webhooks, trazas</t>
        </is>
      </c>
      <c r="G13" s="23" t="inlineStr">
        <is>
          <t>Pendiente</t>
        </is>
      </c>
      <c r="H13" s="24">
        <f>IFERROR(INDEX(Config!$B$3:$B$8,MATCH($G13,Config!$A$3:$A$8,0)),0)</f>
        <v/>
      </c>
      <c r="I13" s="23">
        <f>IFERROR(INDEX(Config!$C$3:$C$8,MATCH($G13,Config!$A$3:$A$8,0)),0)</f>
        <v/>
      </c>
      <c r="J13" s="22" t="inlineStr">
        <is>
          <t>Sin documento y sin tablas integration_*. Bloquea F4.6b y toda la F12</t>
        </is>
      </c>
    </row>
    <row r="14">
      <c r="A14" s="20" t="n">
        <v>13</v>
      </c>
      <c r="B14" s="20" t="inlineStr">
        <is>
          <t>Ola 0 - Fundaciones</t>
        </is>
      </c>
      <c r="C14" s="20" t="inlineStr">
        <is>
          <t>F2</t>
        </is>
      </c>
      <c r="D14" s="20" t="inlineStr">
        <is>
          <t>Modelo de datos</t>
        </is>
      </c>
      <c r="E14" s="21" t="inlineStr">
        <is>
          <t>2.8</t>
        </is>
      </c>
      <c r="F14" s="22" t="inlineStr">
        <is>
          <t>Multipais, multimoneda, multiidioma, zonas horarias</t>
        </is>
      </c>
      <c r="G14" s="23" t="inlineStr">
        <is>
          <t>En curso</t>
        </is>
      </c>
      <c r="H14" s="24">
        <f>IFERROR(INDEX(Config!$B$3:$B$8,MATCH($G14,Config!$A$3:$A$8,0)),0)</f>
        <v/>
      </c>
      <c r="I14" s="23">
        <f>IFERROR(INDEX(Config!$C$3:$C$8,MATCH($G14,Config!$A$3:$A$8,0)),0)</f>
        <v/>
      </c>
      <c r="J14" s="22" t="inlineStr">
        <is>
          <t>countries, currencies, languages y las traducciones existen y estan sembradas. Falta el documento y la revision de reglas de Peru incrustadas</t>
        </is>
      </c>
    </row>
    <row r="15">
      <c r="A15" s="20" t="n">
        <v>14</v>
      </c>
      <c r="B15" s="20" t="inlineStr">
        <is>
          <t>Ola 0 - Fundaciones</t>
        </is>
      </c>
      <c r="C15" s="20" t="inlineStr">
        <is>
          <t>F2</t>
        </is>
      </c>
      <c r="D15" s="20" t="inlineStr">
        <is>
          <t>Modelo de datos</t>
        </is>
      </c>
      <c r="E15" s="21" t="inlineStr">
        <is>
          <t>2.9</t>
        </is>
      </c>
      <c r="F15" s="22" t="inlineStr">
        <is>
          <t>Auditoria, permisos y ambito de acceso externo (cliente / creador)</t>
        </is>
      </c>
      <c r="G15" s="23" t="inlineStr">
        <is>
          <t>En curso</t>
        </is>
      </c>
      <c r="H15" s="24">
        <f>IFERROR(INDEX(Config!$B$3:$B$8,MATCH($G15,Config!$A$3:$A$8,0)),0)</f>
        <v/>
      </c>
      <c r="I15" s="23">
        <f>IFERROR(INDEX(Config!$C$3:$C$8,MATCH($G15,Config!$A$3:$A$8,0)),0)</f>
        <v/>
      </c>
      <c r="J15" s="22" t="inlineStr">
        <is>
          <t>Auditoria y permisos construidos (3.1, 3.2, 3.3). El AMBITO externo no: no hay portales todavia</t>
        </is>
      </c>
    </row>
    <row r="16">
      <c r="A16" s="20" t="n">
        <v>15</v>
      </c>
      <c r="B16" s="20" t="inlineStr">
        <is>
          <t>Ola 0 - Fundaciones</t>
        </is>
      </c>
      <c r="C16" s="20" t="inlineStr">
        <is>
          <t>F2</t>
        </is>
      </c>
      <c r="D16" s="20" t="inlineStr">
        <is>
          <t>Modelo de datos</t>
        </is>
      </c>
      <c r="E16" s="21" t="inlineStr">
        <is>
          <t>2.10</t>
        </is>
      </c>
      <c r="F16" s="22" t="inlineStr">
        <is>
          <t>Indices, volumetria, plan de crecimiento, archivado</t>
        </is>
      </c>
      <c r="G16" s="23" t="inlineStr">
        <is>
          <t>Aplazado</t>
        </is>
      </c>
      <c r="H16" s="24">
        <f>IFERROR(INDEX(Config!$B$3:$B$8,MATCH($G16,Config!$A$3:$A$8,0)),0)</f>
        <v/>
      </c>
      <c r="I16" s="23">
        <f>IFERROR(INDEX(Config!$C$3:$C$8,MATCH($G16,Config!$A$3:$A$8,0)),0)</f>
        <v/>
      </c>
      <c r="J16" s="22" t="inlineStr">
        <is>
          <t>Movida a proposito al final de F7 (docs/15 §5): los indices se disenan contra consultas reales</t>
        </is>
      </c>
    </row>
    <row r="17">
      <c r="A17" s="20" t="n">
        <v>16</v>
      </c>
      <c r="B17" s="20" t="inlineStr">
        <is>
          <t>Ola 0 - Fundaciones</t>
        </is>
      </c>
      <c r="C17" s="20" t="inlineStr">
        <is>
          <t>F2</t>
        </is>
      </c>
      <c r="D17" s="20" t="inlineStr">
        <is>
          <t>Modelo de datos</t>
        </is>
      </c>
      <c r="E17" s="21" t="inlineStr">
        <is>
          <t>2.11</t>
        </is>
      </c>
      <c r="F17" s="22" t="inlineStr">
        <is>
          <t>Revision adversarial del modelo + ERD final</t>
        </is>
      </c>
      <c r="G17" s="23" t="inlineStr">
        <is>
          <t>Terminado</t>
        </is>
      </c>
      <c r="H17" s="24">
        <f>IFERROR(INDEX(Config!$B$3:$B$8,MATCH($G17,Config!$A$3:$A$8,0)),0)</f>
        <v/>
      </c>
      <c r="I17" s="23">
        <f>IFERROR(INDEX(Config!$C$3:$C$8,MATCH($G17,Config!$A$3:$A$8,0)),0)</f>
        <v/>
      </c>
      <c r="J17" s="22" t="inlineStr">
        <is>
          <t>Hecha. Dejo siete hallazgos, los siete cerrados (el ultimo, T-23). Falta publicar el ERD como imagen</t>
        </is>
      </c>
    </row>
    <row r="18">
      <c r="A18" s="20" t="n">
        <v>17</v>
      </c>
      <c r="B18" s="20" t="inlineStr">
        <is>
          <t>Ola 0 - Fundaciones</t>
        </is>
      </c>
      <c r="C18" s="20" t="inlineStr">
        <is>
          <t>F3</t>
        </is>
      </c>
      <c r="D18" s="20" t="inlineStr">
        <is>
          <t>Design System y UX</t>
        </is>
      </c>
      <c r="E18" s="21" t="inlineStr">
        <is>
          <t>3.1</t>
        </is>
      </c>
      <c r="F18" s="22" t="inlineStr">
        <is>
          <t>Journeys de los 6 perfiles</t>
        </is>
      </c>
      <c r="G18" s="23" t="inlineStr">
        <is>
          <t>Pendiente</t>
        </is>
      </c>
      <c r="H18" s="24">
        <f>IFERROR(INDEX(Config!$B$3:$B$8,MATCH($G18,Config!$A$3:$A$8,0)),0)</f>
        <v/>
      </c>
      <c r="I18" s="23">
        <f>IFERROR(INDEX(Config!$C$3:$C$8,MATCH($G18,Config!$A$3:$A$8,0)),0)</f>
        <v/>
      </c>
      <c r="J18" s="22" t="inlineStr"/>
    </row>
    <row r="19">
      <c r="A19" s="20" t="n">
        <v>18</v>
      </c>
      <c r="B19" s="20" t="inlineStr">
        <is>
          <t>Ola 0 - Fundaciones</t>
        </is>
      </c>
      <c r="C19" s="20" t="inlineStr">
        <is>
          <t>F3</t>
        </is>
      </c>
      <c r="D19" s="20" t="inlineStr">
        <is>
          <t>Design System y UX</t>
        </is>
      </c>
      <c r="E19" s="21" t="inlineStr">
        <is>
          <t>3.2</t>
        </is>
      </c>
      <c r="F19" s="22" t="inlineStr">
        <is>
          <t>Tokens: color, tipografia, espaciado, radios, sombras, modo claro/oscuro</t>
        </is>
      </c>
      <c r="G19" s="23" t="inlineStr">
        <is>
          <t>Terminado</t>
        </is>
      </c>
      <c r="H19" s="24">
        <f>IFERROR(INDEX(Config!$B$3:$B$8,MATCH($G19,Config!$A$3:$A$8,0)),0)</f>
        <v/>
      </c>
      <c r="I19" s="23">
        <f>IFERROR(INDEX(Config!$C$3:$C$8,MATCH($G19,Config!$A$3:$A$8,0)),0)</f>
        <v/>
      </c>
      <c r="J19" s="22" t="inlineStr">
        <is>
          <t>design/tokens.css + docs/14. Queda validar la tipografia (Q-29)</t>
        </is>
      </c>
    </row>
    <row r="20">
      <c r="A20" s="20" t="n">
        <v>19</v>
      </c>
      <c r="B20" s="20" t="inlineStr">
        <is>
          <t>Ola 0 - Fundaciones</t>
        </is>
      </c>
      <c r="C20" s="20" t="inlineStr">
        <is>
          <t>F3</t>
        </is>
      </c>
      <c r="D20" s="20" t="inlineStr">
        <is>
          <t>Design System y UX</t>
        </is>
      </c>
      <c r="E20" s="21" t="inlineStr">
        <is>
          <t>3.3</t>
        </is>
      </c>
      <c r="F20" s="22" t="inlineStr">
        <is>
          <t>Componentes base: botones, formularios, tablas, cards, badges, modales, tabs, alertas</t>
        </is>
      </c>
      <c r="G20" s="23" t="inlineStr">
        <is>
          <t>En curso</t>
        </is>
      </c>
      <c r="H20" s="24">
        <f>IFERROR(INDEX(Config!$B$3:$B$8,MATCH($G20,Config!$A$3:$A$8,0)),0)</f>
        <v/>
      </c>
      <c r="I20" s="23">
        <f>IFERROR(INDEX(Config!$C$3:$C$8,MATCH($G20,Config!$A$3:$A$8,0)),0)</f>
        <v/>
      </c>
      <c r="J20" s="22" t="inlineStr">
        <is>
          <t>Existen de facto en las plantillas del panel, sin catalogo ni documentacion</t>
        </is>
      </c>
    </row>
    <row r="21">
      <c r="A21" s="20" t="n">
        <v>20</v>
      </c>
      <c r="B21" s="20" t="inlineStr">
        <is>
          <t>Ola 0 - Fundaciones</t>
        </is>
      </c>
      <c r="C21" s="20" t="inlineStr">
        <is>
          <t>F3</t>
        </is>
      </c>
      <c r="D21" s="20" t="inlineStr">
        <is>
          <t>Design System y UX</t>
        </is>
      </c>
      <c r="E21" s="21" t="inlineStr">
        <is>
          <t>3.4</t>
        </is>
      </c>
      <c r="F21" s="22" t="inlineStr">
        <is>
          <t>Estados: vacio, carga, error, sin permisos, sin resultados</t>
        </is>
      </c>
      <c r="G21" s="23" t="inlineStr">
        <is>
          <t>En curso</t>
        </is>
      </c>
      <c r="H21" s="24">
        <f>IFERROR(INDEX(Config!$B$3:$B$8,MATCH($G21,Config!$A$3:$A$8,0)),0)</f>
        <v/>
      </c>
      <c r="I21" s="23">
        <f>IFERROR(INDEX(Config!$C$3:$C$8,MATCH($G21,Config!$A$3:$A$8,0)),0)</f>
        <v/>
      </c>
      <c r="J21" s="22" t="inlineStr">
        <is>
          <t>Vacio y sin permisos si (403 con motivo). Carga y error no estan sistematizados</t>
        </is>
      </c>
    </row>
    <row r="22">
      <c r="A22" s="20" t="n">
        <v>21</v>
      </c>
      <c r="B22" s="20" t="inlineStr">
        <is>
          <t>Ola 0 - Fundaciones</t>
        </is>
      </c>
      <c r="C22" s="20" t="inlineStr">
        <is>
          <t>F3</t>
        </is>
      </c>
      <c r="D22" s="20" t="inlineStr">
        <is>
          <t>Design System y UX</t>
        </is>
      </c>
      <c r="E22" s="21" t="inlineStr">
        <is>
          <t>3.5</t>
        </is>
      </c>
      <c r="F22" s="22" t="inlineStr">
        <is>
          <t>Wireframes de baja fidelidad de las 12 pantallas criticas</t>
        </is>
      </c>
      <c r="G22" s="23" t="inlineStr">
        <is>
          <t>Pendiente</t>
        </is>
      </c>
      <c r="H22" s="24">
        <f>IFERROR(INDEX(Config!$B$3:$B$8,MATCH($G22,Config!$A$3:$A$8,0)),0)</f>
        <v/>
      </c>
      <c r="I22" s="23">
        <f>IFERROR(INDEX(Config!$C$3:$C$8,MATCH($G22,Config!$A$3:$A$8,0)),0)</f>
        <v/>
      </c>
      <c r="J22" s="22" t="inlineStr">
        <is>
          <t>Se ha ido construyendo pantalla a pantalla sin wireframe previo</t>
        </is>
      </c>
    </row>
    <row r="23">
      <c r="A23" s="20" t="n">
        <v>22</v>
      </c>
      <c r="B23" s="20" t="inlineStr">
        <is>
          <t>Ola 0 - Fundaciones</t>
        </is>
      </c>
      <c r="C23" s="20" t="inlineStr">
        <is>
          <t>F3</t>
        </is>
      </c>
      <c r="D23" s="20" t="inlineStr">
        <is>
          <t>Design System y UX</t>
        </is>
      </c>
      <c r="E23" s="21" t="inlineStr">
        <is>
          <t>3.6</t>
        </is>
      </c>
      <c r="F23" s="22" t="inlineStr">
        <is>
          <t>Identidad diferenciada por portal</t>
        </is>
      </c>
      <c r="G23" s="23" t="inlineStr">
        <is>
          <t>Terminado</t>
        </is>
      </c>
      <c r="H23" s="24">
        <f>IFERROR(INDEX(Config!$B$3:$B$8,MATCH($G23,Config!$A$3:$A$8,0)),0)</f>
        <v/>
      </c>
      <c r="I23" s="23">
        <f>IFERROR(INDEX(Config!$C$3:$C$8,MATCH($G23,Config!$A$3:$A$8,0)),0)</f>
        <v/>
      </c>
      <c r="J23" s="22" t="inlineStr">
        <is>
          <t>Token de densidad por portal en design/tokens.css</t>
        </is>
      </c>
    </row>
    <row r="24">
      <c r="A24" s="20" t="n">
        <v>23</v>
      </c>
      <c r="B24" s="20" t="inlineStr">
        <is>
          <t>Ola 0 - Fundaciones</t>
        </is>
      </c>
      <c r="C24" s="20" t="inlineStr">
        <is>
          <t>F3</t>
        </is>
      </c>
      <c r="D24" s="20" t="inlineStr">
        <is>
          <t>Design System y UX</t>
        </is>
      </c>
      <c r="E24" s="21" t="inlineStr">
        <is>
          <t>3.7</t>
        </is>
      </c>
      <c r="F24" s="22" t="inlineStr">
        <is>
          <t>Sustituir assets del kit por los corregidos y publicar la guia de marca interna</t>
        </is>
      </c>
      <c r="G24" s="23" t="inlineStr">
        <is>
          <t>Pendiente</t>
        </is>
      </c>
      <c r="H24" s="24">
        <f>IFERROR(INDEX(Config!$B$3:$B$8,MATCH($G24,Config!$A$3:$A$8,0)),0)</f>
        <v/>
      </c>
      <c r="I24" s="23">
        <f>IFERROR(INDEX(Config!$C$3:$C$8,MATCH($G24,Config!$A$3:$A$8,0)),0)</f>
        <v/>
      </c>
      <c r="J24" s="22" t="inlineStr">
        <is>
          <t>Depende de Q-30 y Q-31</t>
        </is>
      </c>
    </row>
    <row r="25">
      <c r="A25" s="20" t="n">
        <v>24</v>
      </c>
      <c r="B25" s="20" t="inlineStr">
        <is>
          <t>Ola 0 - Fundaciones</t>
        </is>
      </c>
      <c r="C25" s="20" t="inlineStr">
        <is>
          <t>F4</t>
        </is>
      </c>
      <c r="D25" s="20" t="inlineStr">
        <is>
          <t>Core tecnico</t>
        </is>
      </c>
      <c r="E25" s="21" t="inlineStr">
        <is>
          <t>4.1</t>
        </is>
      </c>
      <c r="F25" s="22" t="inlineStr">
        <is>
          <t>Identidad: usuarios, login, logout, recuperacion, verificacion de email, sesiones</t>
        </is>
      </c>
      <c r="G25" s="23" t="inlineStr">
        <is>
          <t>Terminado</t>
        </is>
      </c>
      <c r="H25" s="24">
        <f>IFERROR(INDEX(Config!$B$3:$B$8,MATCH($G25,Config!$A$3:$A$8,0)),0)</f>
        <v/>
      </c>
      <c r="I25" s="23">
        <f>IFERROR(INDEX(Config!$C$3:$C$8,MATCH($G25,Config!$A$3:$A$8,0)),0)</f>
        <v/>
      </c>
      <c r="J25" s="22" t="inlineStr">
        <is>
          <t>docs/fase-5/5.9 y docs/fase-7/7.6b. DEC-113 a DEC-118 y DEC-126. Recuperacion por enlace, misma respuesta exista o no el correo, URL sin token. Desde 7.6b tampoco se teclea la del equipo (BR-SEC-004 cerrada). Falta la verificacion de correo</t>
        </is>
      </c>
    </row>
    <row r="26">
      <c r="A26" s="20" t="n">
        <v>25</v>
      </c>
      <c r="B26" s="20" t="inlineStr">
        <is>
          <t>Ola 0 - Fundaciones</t>
        </is>
      </c>
      <c r="C26" s="20" t="inlineStr">
        <is>
          <t>F4</t>
        </is>
      </c>
      <c r="D26" s="20" t="inlineStr">
        <is>
          <t>Core tecnico</t>
        </is>
      </c>
      <c r="E26" s="21" t="inlineStr">
        <is>
          <t>4.2</t>
        </is>
      </c>
      <c r="F26" s="22" t="inlineStr">
        <is>
          <t>RBAC: roles, permisos, politicas de recurso, pruebas de autorizacion negativas</t>
        </is>
      </c>
      <c r="G26" s="23" t="inlineStr">
        <is>
          <t>Terminado</t>
        </is>
      </c>
      <c r="H26" s="24">
        <f>IFERROR(INDEX(Config!$B$3:$B$8,MATCH($G26,Config!$A$3:$A$8,0)),0)</f>
        <v/>
      </c>
      <c r="I26" s="23">
        <f>IFERROR(INDEX(Config!$C$3:$C$8,MATCH($G26,Config!$A$3:$A$8,0)),0)</f>
        <v/>
      </c>
      <c r="J26" s="22" t="inlineStr">
        <is>
          <t>docs/fase-3/3.1. 127 permisos usados, todos existentes (puerta de nombres entre capas)</t>
        </is>
      </c>
    </row>
    <row r="27">
      <c r="A27" s="20" t="n">
        <v>26</v>
      </c>
      <c r="B27" s="20" t="inlineStr">
        <is>
          <t>Ola 0 - Fundaciones</t>
        </is>
      </c>
      <c r="C27" s="20" t="inlineStr">
        <is>
          <t>F4</t>
        </is>
      </c>
      <c r="D27" s="20" t="inlineStr">
        <is>
          <t>Core tecnico</t>
        </is>
      </c>
      <c r="E27" s="21" t="inlineStr">
        <is>
          <t>4.3</t>
        </is>
      </c>
      <c r="F27" s="22" t="inlineStr">
        <is>
          <t>Ambito de acceso externo: client_organization_id y creator_id por politica de recurso</t>
        </is>
      </c>
      <c r="G27" s="23" t="inlineStr">
        <is>
          <t>Pendiente</t>
        </is>
      </c>
      <c r="H27" s="24">
        <f>IFERROR(INDEX(Config!$B$3:$B$8,MATCH($G27,Config!$A$3:$A$8,0)),0)</f>
        <v/>
      </c>
      <c r="I27" s="23">
        <f>IFERROR(INDEX(Config!$C$3:$C$8,MATCH($G27,Config!$A$3:$A$8,0)),0)</f>
        <v/>
      </c>
      <c r="J27" s="22" t="inlineStr">
        <is>
          <t>No hay portales externos todavia. Llega con F6 y F13</t>
        </is>
      </c>
    </row>
    <row r="28">
      <c r="A28" s="20" t="n">
        <v>27</v>
      </c>
      <c r="B28" s="20" t="inlineStr">
        <is>
          <t>Ola 0 - Fundaciones</t>
        </is>
      </c>
      <c r="C28" s="20" t="inlineStr">
        <is>
          <t>F4</t>
        </is>
      </c>
      <c r="D28" s="20" t="inlineStr">
        <is>
          <t>Core tecnico</t>
        </is>
      </c>
      <c r="E28" s="21" t="inlineStr">
        <is>
          <t>4.3b</t>
        </is>
      </c>
      <c r="F28" s="22" t="inlineStr">
        <is>
          <t>MFA/TOTP obligatorio para roles con permisos financieros (BR-SEC-005)</t>
        </is>
      </c>
      <c r="G28" s="23" t="inlineStr">
        <is>
          <t>Pendiente</t>
        </is>
      </c>
      <c r="H28" s="24">
        <f>IFERROR(INDEX(Config!$B$3:$B$8,MATCH($G28,Config!$A$3:$A$8,0)),0)</f>
        <v/>
      </c>
      <c r="I28" s="23">
        <f>IFERROR(INDEX(Config!$C$3:$C$8,MATCH($G28,Config!$A$3:$A$8,0)),0)</f>
        <v/>
      </c>
      <c r="J28" s="22" t="inlineStr">
        <is>
          <t>Barato ahora, caro de retrofitear. Deberia entrar antes de F9</t>
        </is>
      </c>
    </row>
    <row r="29">
      <c r="A29" s="20" t="n">
        <v>28</v>
      </c>
      <c r="B29" s="20" t="inlineStr">
        <is>
          <t>Ola 0 - Fundaciones</t>
        </is>
      </c>
      <c r="C29" s="20" t="inlineStr">
        <is>
          <t>F4</t>
        </is>
      </c>
      <c r="D29" s="20" t="inlineStr">
        <is>
          <t>Core tecnico</t>
        </is>
      </c>
      <c r="E29" s="21" t="inlineStr">
        <is>
          <t>4.4</t>
        </is>
      </c>
      <c r="F29" s="22" t="inlineStr">
        <is>
          <t>Auditoria append-only + activity log, con request_id</t>
        </is>
      </c>
      <c r="G29" s="23" t="inlineStr">
        <is>
          <t>Terminado</t>
        </is>
      </c>
      <c r="H29" s="24">
        <f>IFERROR(INDEX(Config!$B$3:$B$8,MATCH($G29,Config!$A$3:$A$8,0)),0)</f>
        <v/>
      </c>
      <c r="I29" s="23">
        <f>IFERROR(INDEX(Config!$C$3:$C$8,MATCH($G29,Config!$A$3:$A$8,0)),0)</f>
        <v/>
      </c>
      <c r="J29" s="22" t="inlineStr">
        <is>
          <t>docs/fase-3/3.2 y 3.3. Protegida por dos usuarios de base de datos (DEC-085): falta ejecutar los GRANT en produccion</t>
        </is>
      </c>
    </row>
    <row r="30">
      <c r="A30" s="20" t="n">
        <v>29</v>
      </c>
      <c r="B30" s="20" t="inlineStr">
        <is>
          <t>Ola 0 - Fundaciones</t>
        </is>
      </c>
      <c r="C30" s="20" t="inlineStr">
        <is>
          <t>F4</t>
        </is>
      </c>
      <c r="D30" s="20" t="inlineStr">
        <is>
          <t>Core tecnico</t>
        </is>
      </c>
      <c r="E30" s="21" t="inlineStr">
        <is>
          <t>4.5</t>
        </is>
      </c>
      <c r="F30" s="22" t="inlineStr">
        <is>
          <t>Catalogos maestros + seeders (paises, monedas, idiomas, redes, tipos de documento)</t>
        </is>
      </c>
      <c r="G30" s="23" t="inlineStr">
        <is>
          <t>Terminado</t>
        </is>
      </c>
      <c r="H30" s="24">
        <f>IFERROR(INDEX(Config!$B$3:$B$8,MATCH($G30,Config!$A$3:$A$8,0)),0)</f>
        <v/>
      </c>
      <c r="I30" s="23">
        <f>IFERROR(INDEX(Config!$C$3:$C$8,MATCH($G30,Config!$A$3:$A$8,0)),0)</f>
        <v/>
      </c>
      <c r="J30" s="22" t="inlineStr">
        <is>
          <t>CimientosSeeder + pantalla de catalogos</t>
        </is>
      </c>
    </row>
    <row r="31">
      <c r="A31" s="20" t="n">
        <v>30</v>
      </c>
      <c r="B31" s="20" t="inlineStr">
        <is>
          <t>Ola 0 - Fundaciones</t>
        </is>
      </c>
      <c r="C31" s="20" t="inlineStr">
        <is>
          <t>F4</t>
        </is>
      </c>
      <c r="D31" s="20" t="inlineStr">
        <is>
          <t>Core tecnico</t>
        </is>
      </c>
      <c r="E31" s="21" t="inlineStr">
        <is>
          <t>4.5b</t>
        </is>
      </c>
      <c r="F31" s="22" t="inlineStr">
        <is>
          <t>Marcas de plataforma y entidades legales: CRUD, cobertura con vigencia, monedas, cuentas, contactos, activacion</t>
        </is>
      </c>
      <c r="G31" s="23" t="inlineStr">
        <is>
          <t>Terminado</t>
        </is>
      </c>
      <c r="H31" s="24">
        <f>IFERROR(INDEX(Config!$B$3:$B$8,MATCH($G31,Config!$A$3:$A$8,0)),0)</f>
        <v/>
      </c>
      <c r="I31" s="23">
        <f>IFERROR(INDEX(Config!$C$3:$C$8,MATCH($G31,Config!$A$3:$A$8,0)),0)</f>
        <v/>
      </c>
      <c r="J31" s="22" t="inlineStr">
        <is>
          <t>docs/fase-4/4.5. Cobertura sin solapes garantizada por el compilador de periodos</t>
        </is>
      </c>
    </row>
    <row r="32">
      <c r="A32" s="20" t="n">
        <v>31</v>
      </c>
      <c r="B32" s="20" t="inlineStr">
        <is>
          <t>Ola 0 - Fundaciones</t>
        </is>
      </c>
      <c r="C32" s="20" t="inlineStr">
        <is>
          <t>F4</t>
        </is>
      </c>
      <c r="D32" s="20" t="inlineStr">
        <is>
          <t>Core tecnico</t>
        </is>
      </c>
      <c r="E32" s="21" t="inlineStr">
        <is>
          <t>4.6</t>
        </is>
      </c>
      <c r="F32" s="22" t="inlineStr">
        <is>
          <t>Settings jerarquico en cascada (plataforma -&gt; marca -&gt; entidad -&gt; entidad x pais) + herencia</t>
        </is>
      </c>
      <c r="G32" s="23" t="inlineStr">
        <is>
          <t>Pendiente</t>
        </is>
      </c>
      <c r="H32" s="24">
        <f>IFERROR(INDEX(Config!$B$3:$B$8,MATCH($G32,Config!$A$3:$A$8,0)),0)</f>
        <v/>
      </c>
      <c r="I32" s="23">
        <f>IFERROR(INDEX(Config!$C$3:$C$8,MATCH($G32,Config!$A$3:$A$8,0)),0)</f>
        <v/>
      </c>
      <c r="J32" s="22" t="inlineStr">
        <is>
          <t>Sin tabla settings</t>
        </is>
      </c>
    </row>
    <row r="33">
      <c r="A33" s="20" t="n">
        <v>32</v>
      </c>
      <c r="B33" s="20" t="inlineStr">
        <is>
          <t>Ola 0 - Fundaciones</t>
        </is>
      </c>
      <c r="C33" s="20" t="inlineStr">
        <is>
          <t>F4</t>
        </is>
      </c>
      <c r="D33" s="20" t="inlineStr">
        <is>
          <t>Core tecnico</t>
        </is>
      </c>
      <c r="E33" s="21" t="inlineStr">
        <is>
          <t>4.6b</t>
        </is>
      </c>
      <c r="F33" s="22" t="inlineStr">
        <is>
          <t>Registro de integraciones + resolver + boveda de credenciales</t>
        </is>
      </c>
      <c r="G33" s="23" t="inlineStr">
        <is>
          <t>Pendiente</t>
        </is>
      </c>
      <c r="H33" s="24">
        <f>IFERROR(INDEX(Config!$B$3:$B$8,MATCH($G33,Config!$A$3:$A$8,0)),0)</f>
        <v/>
      </c>
      <c r="I33" s="23">
        <f>IFERROR(INDEX(Config!$C$3:$C$8,MATCH($G33,Config!$A$3:$A$8,0)),0)</f>
        <v/>
      </c>
      <c r="J33" s="22" t="inlineStr">
        <is>
          <t>Bloqueado por 2.7. Es prerrequisito de F12 entera</t>
        </is>
      </c>
    </row>
    <row r="34">
      <c r="A34" s="20" t="n">
        <v>33</v>
      </c>
      <c r="B34" s="20" t="inlineStr">
        <is>
          <t>Ola 0 - Fundaciones</t>
        </is>
      </c>
      <c r="C34" s="20" t="inlineStr">
        <is>
          <t>F4</t>
        </is>
      </c>
      <c r="D34" s="20" t="inlineStr">
        <is>
          <t>Core tecnico</t>
        </is>
      </c>
      <c r="E34" s="21" t="inlineStr">
        <is>
          <t>4.7</t>
        </is>
      </c>
      <c r="F34" s="22" t="inlineStr">
        <is>
          <t>File Manager sobre S3 + validacion por contenido + URLs firmadas</t>
        </is>
      </c>
      <c r="G34" s="23" t="inlineStr">
        <is>
          <t>En curso</t>
        </is>
      </c>
      <c r="H34" s="24">
        <f>IFERROR(INDEX(Config!$B$3:$B$8,MATCH($G34,Config!$A$3:$A$8,0)),0)</f>
        <v/>
      </c>
      <c r="I34" s="23">
        <f>IFERROR(INDEX(Config!$C$3:$C$8,MATCH($G34,Config!$A$3:$A$8,0)),0)</f>
        <v/>
      </c>
      <c r="J34" s="22" t="inlineStr">
        <is>
          <t>Tabla files y subida local funcionando (identidad del creador). Falta S3 y URLs firmadas: depende de la cuenta de storage</t>
        </is>
      </c>
    </row>
    <row r="35">
      <c r="A35" s="20" t="n">
        <v>34</v>
      </c>
      <c r="B35" s="20" t="inlineStr">
        <is>
          <t>Ola 0 - Fundaciones</t>
        </is>
      </c>
      <c r="C35" s="20" t="inlineStr">
        <is>
          <t>F4</t>
        </is>
      </c>
      <c r="D35" s="20" t="inlineStr">
        <is>
          <t>Core tecnico</t>
        </is>
      </c>
      <c r="E35" s="21" t="inlineStr">
        <is>
          <t>4.8</t>
        </is>
      </c>
      <c r="F35" s="22" t="inlineStr">
        <is>
          <t>Colas, scheduler, workers, Horizon</t>
        </is>
      </c>
      <c r="G35" s="23" t="inlineStr">
        <is>
          <t>En curso</t>
        </is>
      </c>
      <c r="H35" s="24">
        <f>IFERROR(INDEX(Config!$B$3:$B$8,MATCH($G35,Config!$A$3:$A$8,0)),0)</f>
        <v/>
      </c>
      <c r="I35" s="23">
        <f>IFERROR(INDEX(Config!$C$3:$C$8,MATCH($G35,Config!$A$3:$A$8,0)),0)</f>
        <v/>
      </c>
      <c r="J35" s="22" t="inlineStr">
        <is>
          <t>F4.9 estreno la cola: EnviarCorreo es el primer job propio, con QUEUE_CONNECTION=database. Faltan scheduler, supervisor y panel</t>
        </is>
      </c>
    </row>
    <row r="36">
      <c r="A36" s="20" t="n">
        <v>35</v>
      </c>
      <c r="B36" s="20" t="inlineStr">
        <is>
          <t>Ola 0 - Fundaciones</t>
        </is>
      </c>
      <c r="C36" s="20" t="inlineStr">
        <is>
          <t>F4</t>
        </is>
      </c>
      <c r="D36" s="20" t="inlineStr">
        <is>
          <t>Core tecnico</t>
        </is>
      </c>
      <c r="E36" s="21" t="inlineStr">
        <is>
          <t>4.9</t>
        </is>
      </c>
      <c r="F36" s="22" t="inlineStr">
        <is>
          <t>Email: plantillas en BD con idioma/version/variables + Email Log + reintentos</t>
        </is>
      </c>
      <c r="G36" s="23" t="inlineStr">
        <is>
          <t>Terminado</t>
        </is>
      </c>
      <c r="H36" s="24">
        <f>IFERROR(INDEX(Config!$B$3:$B$8,MATCH($G36,Config!$A$3:$A$8,0)),0)</f>
        <v/>
      </c>
      <c r="I36" s="23">
        <f>IFERROR(INDEX(Config!$C$3:$C$8,MATCH($G36,Config!$A$3:$A$8,0)),0)</f>
        <v/>
      </c>
      <c r="J36" s="22" t="inlineStr">
        <is>
          <t>docs/fase-4/4.12-CORREO.md. DEC-106 a DEC-108. Adelantada porque bloqueaba 7.6, 5.9, 4.1 y T-10. Falta la cuenta de SMTP (Q-20)</t>
        </is>
      </c>
    </row>
    <row r="37">
      <c r="A37" s="20" t="n">
        <v>36</v>
      </c>
      <c r="B37" s="20" t="inlineStr">
        <is>
          <t>Ola 0 - Fundaciones</t>
        </is>
      </c>
      <c r="C37" s="20" t="inlineStr">
        <is>
          <t>F4</t>
        </is>
      </c>
      <c r="D37" s="20" t="inlineStr">
        <is>
          <t>Core tecnico</t>
        </is>
      </c>
      <c r="E37" s="21" t="inlineStr">
        <is>
          <t>4.10</t>
        </is>
      </c>
      <c r="F37" s="22" t="inlineStr">
        <is>
          <t>Notification Center in-app + preferencias</t>
        </is>
      </c>
      <c r="G37" s="23" t="inlineStr">
        <is>
          <t>Pendiente</t>
        </is>
      </c>
      <c r="H37" s="24">
        <f>IFERROR(INDEX(Config!$B$3:$B$8,MATCH($G37,Config!$A$3:$A$8,0)),0)</f>
        <v/>
      </c>
      <c r="I37" s="23">
        <f>IFERROR(INDEX(Config!$C$3:$C$8,MATCH($G37,Config!$A$3:$A$8,0)),0)</f>
        <v/>
      </c>
      <c r="J37" s="22" t="inlineStr">
        <is>
          <t>4.13 dejo el bus de eventos de dominio (App/Shared/Eventos + domain_events): el centro de notificaciones es otro oyente sobre el mismo bus</t>
        </is>
      </c>
    </row>
    <row r="38">
      <c r="A38" s="20" t="n">
        <v>37</v>
      </c>
      <c r="B38" s="20" t="inlineStr">
        <is>
          <t>Ola 0 - Fundaciones</t>
        </is>
      </c>
      <c r="C38" s="20" t="inlineStr">
        <is>
          <t>F4</t>
        </is>
      </c>
      <c r="D38" s="20" t="inlineStr">
        <is>
          <t>Core tecnico</t>
        </is>
      </c>
      <c r="E38" s="21" t="inlineStr">
        <is>
          <t>4.11</t>
        </is>
      </c>
      <c r="F38" s="22" t="inlineStr">
        <is>
          <t>Manejo de errores, logging estructurado, paginas de error, health check</t>
        </is>
      </c>
      <c r="G38" s="23" t="inlineStr">
        <is>
          <t>En curso</t>
        </is>
      </c>
      <c r="H38" s="24">
        <f>IFERROR(INDEX(Config!$B$3:$B$8,MATCH($G38,Config!$A$3:$A$8,0)),0)</f>
        <v/>
      </c>
      <c r="I38" s="23">
        <f>IFERROR(INDEX(Config!$C$3:$C$8,MATCH($G38,Config!$A$3:$A$8,0)),0)</f>
        <v/>
      </c>
      <c r="J38" s="22" t="inlineStr">
        <is>
          <t>Los 403/404/409 dicen el motivo con palabras en todo el sistema. Falta logging estructurado y health check</t>
        </is>
      </c>
    </row>
    <row r="39">
      <c r="A39" s="20" t="n">
        <v>38</v>
      </c>
      <c r="B39" s="20" t="inlineStr">
        <is>
          <t>Ola 0 - Fundaciones</t>
        </is>
      </c>
      <c r="C39" s="20" t="inlineStr">
        <is>
          <t>F4</t>
        </is>
      </c>
      <c r="D39" s="20" t="inlineStr">
        <is>
          <t>Core tecnico</t>
        </is>
      </c>
      <c r="E39" s="21" t="inlineStr">
        <is>
          <t>4.12</t>
        </is>
      </c>
      <c r="F39" s="22" t="inlineStr">
        <is>
          <t>Layout de admin, navegacion, busqueda basica, tabla estandar con filtros/orden/paginacion</t>
        </is>
      </c>
      <c r="G39" s="23" t="inlineStr">
        <is>
          <t>Terminado</t>
        </is>
      </c>
      <c r="H39" s="24">
        <f>IFERROR(INDEX(Config!$B$3:$B$8,MATCH($G39,Config!$A$3:$A$8,0)),0)</f>
        <v/>
      </c>
      <c r="I39" s="23">
        <f>IFERROR(INDEX(Config!$C$3:$C$8,MATCH($G39,Config!$A$3:$A$8,0)),0)</f>
        <v/>
      </c>
      <c r="J39" s="22" t="inlineStr">
        <is>
          <t>layouts/panel + 21 plantillas. La busqueda global no existe; los listados filtran</t>
        </is>
      </c>
    </row>
    <row r="40">
      <c r="A40" s="20" t="n">
        <v>39</v>
      </c>
      <c r="B40" s="20" t="inlineStr">
        <is>
          <t>Ola 0 - Fundaciones</t>
        </is>
      </c>
      <c r="C40" s="20" t="inlineStr">
        <is>
          <t>F4</t>
        </is>
      </c>
      <c r="D40" s="20" t="inlineStr">
        <is>
          <t>Core tecnico</t>
        </is>
      </c>
      <c r="E40" s="21" t="inlineStr">
        <is>
          <t>4.13</t>
        </is>
      </c>
      <c r="F40" s="22" t="inlineStr">
        <is>
          <t>QA de fase + Phase Review Report</t>
        </is>
      </c>
      <c r="G40" s="23" t="inlineStr">
        <is>
          <t>Pendiente</t>
        </is>
      </c>
      <c r="H40" s="24">
        <f>IFERROR(INDEX(Config!$B$3:$B$8,MATCH($G40,Config!$A$3:$A$8,0)),0)</f>
        <v/>
      </c>
      <c r="I40" s="23">
        <f>IFERROR(INDEX(Config!$C$3:$C$8,MATCH($G40,Config!$A$3:$A$8,0)),0)</f>
        <v/>
      </c>
      <c r="J40" s="22" t="inlineStr"/>
    </row>
    <row r="41">
      <c r="A41" s="20" t="n">
        <v>40</v>
      </c>
      <c r="B41" s="20" t="inlineStr">
        <is>
          <t>Ola 1 - MVP: operar sin Excel</t>
        </is>
      </c>
      <c r="C41" s="20" t="inlineStr">
        <is>
          <t>F5</t>
        </is>
      </c>
      <c r="D41" s="20" t="inlineStr">
        <is>
          <t>Adquisicion de creadores</t>
        </is>
      </c>
      <c r="E41" s="21" t="inlineStr">
        <is>
          <t>5.1</t>
        </is>
      </c>
      <c r="F41" s="22" t="inlineStr">
        <is>
          <t>Landing de creadores (responsive, SEO, consentimientos)</t>
        </is>
      </c>
      <c r="G41" s="23" t="inlineStr">
        <is>
          <t>Pendiente</t>
        </is>
      </c>
      <c r="H41" s="24">
        <f>IFERROR(INDEX(Config!$B$3:$B$8,MATCH($G41,Config!$A$3:$A$8,0)),0)</f>
        <v/>
      </c>
      <c r="I41" s="23">
        <f>IFERROR(INDEX(Config!$C$3:$C$8,MATCH($G41,Config!$A$3:$A$8,0)),0)</f>
        <v/>
      </c>
      <c r="J41" s="22" t="inlineStr">
        <is>
          <t>No hay ninguna ruta publica</t>
        </is>
      </c>
    </row>
    <row r="42">
      <c r="A42" s="20" t="n">
        <v>41</v>
      </c>
      <c r="B42" s="20" t="inlineStr">
        <is>
          <t>Ola 1 - MVP: operar sin Excel</t>
        </is>
      </c>
      <c r="C42" s="20" t="inlineStr">
        <is>
          <t>F5</t>
        </is>
      </c>
      <c r="D42" s="20" t="inlineStr">
        <is>
          <t>Adquisicion de creadores</t>
        </is>
      </c>
      <c r="E42" s="21" t="inlineStr">
        <is>
          <t>5.2</t>
        </is>
      </c>
      <c r="F42" s="22" t="inlineStr">
        <is>
          <t>Formulario de aplicacion multi-paso con guardado parcial</t>
        </is>
      </c>
      <c r="G42" s="23" t="inlineStr">
        <is>
          <t>Pendiente</t>
        </is>
      </c>
      <c r="H42" s="24">
        <f>IFERROR(INDEX(Config!$B$3:$B$8,MATCH($G42,Config!$A$3:$A$8,0)),0)</f>
        <v/>
      </c>
      <c r="I42" s="23">
        <f>IFERROR(INDEX(Config!$C$3:$C$8,MATCH($G42,Config!$A$3:$A$8,0)),0)</f>
        <v/>
      </c>
      <c r="J42" s="22" t="inlineStr">
        <is>
          <t>La tabla creator_applications existe; el formulario publico no</t>
        </is>
      </c>
    </row>
    <row r="43">
      <c r="A43" s="20" t="n">
        <v>42</v>
      </c>
      <c r="B43" s="20" t="inlineStr">
        <is>
          <t>Ola 1 - MVP: operar sin Excel</t>
        </is>
      </c>
      <c r="C43" s="20" t="inlineStr">
        <is>
          <t>F5</t>
        </is>
      </c>
      <c r="D43" s="20" t="inlineStr">
        <is>
          <t>Adquisicion de creadores</t>
        </is>
      </c>
      <c r="E43" s="21" t="inlineStr">
        <is>
          <t>5.3</t>
        </is>
      </c>
      <c r="F43" s="22" t="inlineStr">
        <is>
          <t>Cuentas sociales declaradas + metricas + evidencias</t>
        </is>
      </c>
      <c r="G43" s="23" t="inlineStr">
        <is>
          <t>Terminado</t>
        </is>
      </c>
      <c r="H43" s="24">
        <f>IFERROR(INDEX(Config!$B$3:$B$8,MATCH($G43,Config!$A$3:$A$8,0)),0)</f>
        <v/>
      </c>
      <c r="I43" s="23">
        <f>IFERROR(INDEX(Config!$C$3:$C$8,MATCH($G43,Config!$A$3:$A$8,0)),0)</f>
        <v/>
      </c>
      <c r="J43" s="22" t="inlineStr">
        <is>
          <t>docs/fase-3/3.7. Con verificacion y snapshots de metricas</t>
        </is>
      </c>
    </row>
    <row r="44">
      <c r="A44" s="20" t="n">
        <v>43</v>
      </c>
      <c r="B44" s="20" t="inlineStr">
        <is>
          <t>Ola 1 - MVP: operar sin Excel</t>
        </is>
      </c>
      <c r="C44" s="20" t="inlineStr">
        <is>
          <t>F5</t>
        </is>
      </c>
      <c r="D44" s="20" t="inlineStr">
        <is>
          <t>Adquisicion de creadores</t>
        </is>
      </c>
      <c r="E44" s="21" t="inlineStr">
        <is>
          <t>5.4</t>
        </is>
      </c>
      <c r="F44" s="22" t="inlineStr">
        <is>
          <t>Subida de archivos y capturas de insights</t>
        </is>
      </c>
      <c r="G44" s="23" t="inlineStr">
        <is>
          <t>En curso</t>
        </is>
      </c>
      <c r="H44" s="24">
        <f>IFERROR(INDEX(Config!$B$3:$B$8,MATCH($G44,Config!$A$3:$A$8,0)),0)</f>
        <v/>
      </c>
      <c r="I44" s="23">
        <f>IFERROR(INDEX(Config!$C$3:$C$8,MATCH($G44,Config!$A$3:$A$8,0)),0)</f>
        <v/>
      </c>
      <c r="J44" s="22" t="inlineStr">
        <is>
          <t>La subida existe para identidad; falta el flujo de insights de redes</t>
        </is>
      </c>
    </row>
    <row r="45">
      <c r="A45" s="20" t="n">
        <v>44</v>
      </c>
      <c r="B45" s="20" t="inlineStr">
        <is>
          <t>Ola 1 - MVP: operar sin Excel</t>
        </is>
      </c>
      <c r="C45" s="20" t="inlineStr">
        <is>
          <t>F5</t>
        </is>
      </c>
      <c r="D45" s="20" t="inlineStr">
        <is>
          <t>Adquisicion de creadores</t>
        </is>
      </c>
      <c r="E45" s="21" t="inlineStr">
        <is>
          <t>5.5</t>
        </is>
      </c>
      <c r="F45" s="22" t="inlineStr">
        <is>
          <t>Deteccion de duplicados y validaciones anti-basura (honeypot, rate limit, verificacion de email)</t>
        </is>
      </c>
      <c r="G45" s="23" t="inlineStr">
        <is>
          <t>En curso</t>
        </is>
      </c>
      <c r="H45" s="24">
        <f>IFERROR(INDEX(Config!$B$3:$B$8,MATCH($G45,Config!$A$3:$A$8,0)),0)</f>
        <v/>
      </c>
      <c r="I45" s="23">
        <f>IFERROR(INDEX(Config!$C$3:$C$8,MATCH($G45,Config!$A$3:$A$8,0)),0)</f>
        <v/>
      </c>
      <c r="J45" s="22" t="inlineStr">
        <is>
          <t>Duplicados: huellas de cuenta de pago con convergencia (4.10). Anti-basura publico: no, porque no hay formulario publico</t>
        </is>
      </c>
    </row>
    <row r="46">
      <c r="A46" s="20" t="n">
        <v>45</v>
      </c>
      <c r="B46" s="20" t="inlineStr">
        <is>
          <t>Ola 1 - MVP: operar sin Excel</t>
        </is>
      </c>
      <c r="C46" s="20" t="inlineStr">
        <is>
          <t>F5</t>
        </is>
      </c>
      <c r="D46" s="20" t="inlineStr">
        <is>
          <t>Adquisicion de creadores</t>
        </is>
      </c>
      <c r="E46" s="21" t="inlineStr">
        <is>
          <t>5.6</t>
        </is>
      </c>
      <c r="F46" s="22" t="inlineStr">
        <is>
          <t>Importacion masiva CSV/Excel con mapeo, previsualizacion, validacion, resumen y reversion</t>
        </is>
      </c>
      <c r="G46" s="23" t="inlineStr">
        <is>
          <t>En curso</t>
        </is>
      </c>
      <c r="H46" s="24">
        <f>IFERROR(INDEX(Config!$B$3:$B$8,MATCH($G46,Config!$A$3:$A$8,0)),0)</f>
        <v/>
      </c>
      <c r="I46" s="23">
        <f>IFERROR(INDEX(Config!$C$3:$C$8,MATCH($G46,Config!$A$3:$A$8,0)),0)</f>
        <v/>
      </c>
      <c r="J46" s="22" t="inlineStr">
        <is>
          <t>Plantilla CSV y guia escritas (tools/). El importador no esta construido</t>
        </is>
      </c>
    </row>
    <row r="47">
      <c r="A47" s="20" t="n">
        <v>46</v>
      </c>
      <c r="B47" s="20" t="inlineStr">
        <is>
          <t>Ola 1 - MVP: operar sin Excel</t>
        </is>
      </c>
      <c r="C47" s="20" t="inlineStr">
        <is>
          <t>F5</t>
        </is>
      </c>
      <c r="D47" s="20" t="inlineStr">
        <is>
          <t>Adquisicion de creadores</t>
        </is>
      </c>
      <c r="E47" s="21" t="inlineStr">
        <is>
          <t>5.7</t>
        </is>
      </c>
      <c r="F47" s="22" t="inlineStr">
        <is>
          <t>Bandeja de revision + ficha 360 + notas internas</t>
        </is>
      </c>
      <c r="G47" s="23" t="inlineStr">
        <is>
          <t>Terminado</t>
        </is>
      </c>
      <c r="H47" s="24">
        <f>IFERROR(INDEX(Config!$B$3:$B$8,MATCH($G47,Config!$A$3:$A$8,0)),0)</f>
        <v/>
      </c>
      <c r="I47" s="23">
        <f>IFERROR(INDEX(Config!$C$3:$C$8,MATCH($G47,Config!$A$3:$A$8,0)),0)</f>
        <v/>
      </c>
      <c r="J47" s="22" t="inlineStr">
        <is>
          <t>docs/fase-3/3.4. Rutas solicitudes.* y creadores.show</t>
        </is>
      </c>
    </row>
    <row r="48">
      <c r="A48" s="20" t="n">
        <v>47</v>
      </c>
      <c r="B48" s="20" t="inlineStr">
        <is>
          <t>Ola 1 - MVP: operar sin Excel</t>
        </is>
      </c>
      <c r="C48" s="20" t="inlineStr">
        <is>
          <t>F5</t>
        </is>
      </c>
      <c r="D48" s="20" t="inlineStr">
        <is>
          <t>Adquisicion de creadores</t>
        </is>
      </c>
      <c r="E48" s="21" t="inlineStr">
        <is>
          <t>5.8</t>
        </is>
      </c>
      <c r="F48" s="22" t="inlineStr">
        <is>
          <t>Maquina de estados + aprobar/rechazar/solicitar informacion con motivos tipificados</t>
        </is>
      </c>
      <c r="G48" s="23" t="inlineStr">
        <is>
          <t>Terminado</t>
        </is>
      </c>
      <c r="H48" s="24">
        <f>IFERROR(INDEX(Config!$B$3:$B$8,MATCH($G48,Config!$A$3:$A$8,0)),0)</f>
        <v/>
      </c>
      <c r="I48" s="23">
        <f>IFERROR(INDEX(Config!$C$3:$C$8,MATCH($G48,Config!$A$3:$A$8,0)),0)</f>
        <v/>
      </c>
      <c r="J48" s="22" t="inlineStr">
        <is>
          <t>docs/fase-3/3.4 y 3.5. Activacion con seis requisitos</t>
        </is>
      </c>
    </row>
    <row r="49">
      <c r="A49" s="20" t="n">
        <v>48</v>
      </c>
      <c r="B49" s="20" t="inlineStr">
        <is>
          <t>Ola 1 - MVP: operar sin Excel</t>
        </is>
      </c>
      <c r="C49" s="20" t="inlineStr">
        <is>
          <t>F5</t>
        </is>
      </c>
      <c r="D49" s="20" t="inlineStr">
        <is>
          <t>Adquisicion de creadores</t>
        </is>
      </c>
      <c r="E49" s="21" t="inlineStr">
        <is>
          <t>5.9</t>
        </is>
      </c>
      <c r="F49" s="22" t="inlineStr">
        <is>
          <t>Aprobacion -&gt; creacion de usuario + enlace seguro de contrasena + emails</t>
        </is>
      </c>
      <c r="G49" s="23" t="inlineStr">
        <is>
          <t>Terminado</t>
        </is>
      </c>
      <c r="H49" s="24">
        <f>IFERROR(INDEX(Config!$B$3:$B$8,MATCH($G49,Config!$A$3:$A$8,0)),0)</f>
        <v/>
      </c>
      <c r="I49" s="23">
        <f>IFERROR(INDEX(Config!$C$3:$C$8,MATCH($G49,Config!$A$3:$A$8,0)),0)</f>
        <v/>
      </c>
      <c r="J49" s="22" t="inlineStr">
        <is>
          <t>docs/fase-5/5.9-ENLACE-DE-CONTRASENA.md. Crea la cuenta, escribe creators.user_id y manda el enlace de 72 h. La cuenta nace con una contrasena que no conoce nadie</t>
        </is>
      </c>
    </row>
    <row r="50">
      <c r="A50" s="20" t="n">
        <v>49</v>
      </c>
      <c r="B50" s="20" t="inlineStr">
        <is>
          <t>Ola 1 - MVP: operar sin Excel</t>
        </is>
      </c>
      <c r="C50" s="20" t="inlineStr">
        <is>
          <t>F5</t>
        </is>
      </c>
      <c r="D50" s="20" t="inlineStr">
        <is>
          <t>Adquisicion de creadores</t>
        </is>
      </c>
      <c r="E50" s="21" t="inlineStr">
        <is>
          <t>5.10</t>
        </is>
      </c>
      <c r="F50" s="22" t="inlineStr">
        <is>
          <t>Blacklist</t>
        </is>
      </c>
      <c r="G50" s="23" t="inlineStr">
        <is>
          <t>En curso</t>
        </is>
      </c>
      <c r="H50" s="24">
        <f>IFERROR(INDEX(Config!$B$3:$B$8,MATCH($G50,Config!$A$3:$A$8,0)),0)</f>
        <v/>
      </c>
      <c r="I50" s="23">
        <f>IFERROR(INDEX(Config!$C$3:$C$8,MATCH($G50,Config!$A$3:$A$8,0)),0)</f>
        <v/>
      </c>
      <c r="J50" s="22" t="inlineStr">
        <is>
          <t>El estado blacklisted existe en creadores y clientes. Falta la pantalla y el motivo tipificado</t>
        </is>
      </c>
    </row>
    <row r="51">
      <c r="A51" s="20" t="n">
        <v>50</v>
      </c>
      <c r="B51" s="20" t="inlineStr">
        <is>
          <t>Ola 1 - MVP: operar sin Excel</t>
        </is>
      </c>
      <c r="C51" s="20" t="inlineStr">
        <is>
          <t>F5</t>
        </is>
      </c>
      <c r="D51" s="20" t="inlineStr">
        <is>
          <t>Adquisicion de creadores</t>
        </is>
      </c>
      <c r="E51" s="21" t="inlineStr">
        <is>
          <t>5.11</t>
        </is>
      </c>
      <c r="F51" s="22" t="inlineStr">
        <is>
          <t>QA de fase + Phase Review Report</t>
        </is>
      </c>
      <c r="G51" s="23" t="inlineStr">
        <is>
          <t>Pendiente</t>
        </is>
      </c>
      <c r="H51" s="24">
        <f>IFERROR(INDEX(Config!$B$3:$B$8,MATCH($G51,Config!$A$3:$A$8,0)),0)</f>
        <v/>
      </c>
      <c r="I51" s="23">
        <f>IFERROR(INDEX(Config!$C$3:$C$8,MATCH($G51,Config!$A$3:$A$8,0)),0)</f>
        <v/>
      </c>
      <c r="J51" s="22" t="inlineStr"/>
    </row>
    <row r="52">
      <c r="A52" s="20" t="n">
        <v>51</v>
      </c>
      <c r="B52" s="20" t="inlineStr">
        <is>
          <t>Ola 1 - MVP: operar sin Excel</t>
        </is>
      </c>
      <c r="C52" s="20" t="inlineStr">
        <is>
          <t>F6</t>
        </is>
      </c>
      <c r="D52" s="20" t="inlineStr">
        <is>
          <t>Portal del creador</t>
        </is>
      </c>
      <c r="E52" s="21" t="inlineStr">
        <is>
          <t>6.1</t>
        </is>
      </c>
      <c r="F52" s="22" t="inlineStr">
        <is>
          <t>Shell del portal (PWA), navegacion movil, onboarding con barra de completitud</t>
        </is>
      </c>
      <c r="G52" s="23" t="inlineStr">
        <is>
          <t>Pendiente</t>
        </is>
      </c>
      <c r="H52" s="24">
        <f>IFERROR(INDEX(Config!$B$3:$B$8,MATCH($G52,Config!$A$3:$A$8,0)),0)</f>
        <v/>
      </c>
      <c r="I52" s="23">
        <f>IFERROR(INDEX(Config!$C$3:$C$8,MATCH($G52,Config!$A$3:$A$8,0)),0)</f>
        <v/>
      </c>
      <c r="J52" s="22" t="inlineStr"/>
    </row>
    <row r="53">
      <c r="A53" s="20" t="n">
        <v>52</v>
      </c>
      <c r="B53" s="20" t="inlineStr">
        <is>
          <t>Ola 1 - MVP: operar sin Excel</t>
        </is>
      </c>
      <c r="C53" s="20" t="inlineStr">
        <is>
          <t>F6</t>
        </is>
      </c>
      <c r="D53" s="20" t="inlineStr">
        <is>
          <t>Portal del creador</t>
        </is>
      </c>
      <c r="E53" s="21" t="inlineStr">
        <is>
          <t>6.2</t>
        </is>
      </c>
      <c r="F53" s="22" t="inlineStr">
        <is>
          <t>Mi perfil: personal, ubicacion, idiomas, preferencias</t>
        </is>
      </c>
      <c r="G53" s="23" t="inlineStr">
        <is>
          <t>Pendiente</t>
        </is>
      </c>
      <c r="H53" s="24">
        <f>IFERROR(INDEX(Config!$B$3:$B$8,MATCH($G53,Config!$A$3:$A$8,0)),0)</f>
        <v/>
      </c>
      <c r="I53" s="23">
        <f>IFERROR(INDEX(Config!$C$3:$C$8,MATCH($G53,Config!$A$3:$A$8,0)),0)</f>
        <v/>
      </c>
      <c r="J53" s="22" t="inlineStr">
        <is>
          <t>El modelo y la pantalla de ADMIN existen; el portal del creador no</t>
        </is>
      </c>
    </row>
    <row r="54">
      <c r="A54" s="20" t="n">
        <v>53</v>
      </c>
      <c r="B54" s="20" t="inlineStr">
        <is>
          <t>Ola 1 - MVP: operar sin Excel</t>
        </is>
      </c>
      <c r="C54" s="20" t="inlineStr">
        <is>
          <t>F6</t>
        </is>
      </c>
      <c r="D54" s="20" t="inlineStr">
        <is>
          <t>Portal del creador</t>
        </is>
      </c>
      <c r="E54" s="21" t="inlineStr">
        <is>
          <t>6.3</t>
        </is>
      </c>
      <c r="F54" s="22" t="inlineStr">
        <is>
          <t>Mis redes: alta, edicion, actualizacion de estadisticas, evidencia</t>
        </is>
      </c>
      <c r="G54" s="23" t="inlineStr">
        <is>
          <t>Pendiente</t>
        </is>
      </c>
      <c r="H54" s="24">
        <f>IFERROR(INDEX(Config!$B$3:$B$8,MATCH($G54,Config!$A$3:$A$8,0)),0)</f>
        <v/>
      </c>
      <c r="I54" s="23">
        <f>IFERROR(INDEX(Config!$C$3:$C$8,MATCH($G54,Config!$A$3:$A$8,0)),0)</f>
        <v/>
      </c>
      <c r="J54" s="22" t="inlineStr">
        <is>
          <t>Idem: construido del lado admin en 3.7</t>
        </is>
      </c>
    </row>
    <row r="55">
      <c r="A55" s="20" t="n">
        <v>54</v>
      </c>
      <c r="B55" s="20" t="inlineStr">
        <is>
          <t>Ola 1 - MVP: operar sin Excel</t>
        </is>
      </c>
      <c r="C55" s="20" t="inlineStr">
        <is>
          <t>F6</t>
        </is>
      </c>
      <c r="D55" s="20" t="inlineStr">
        <is>
          <t>Portal del creador</t>
        </is>
      </c>
      <c r="E55" s="21" t="inlineStr">
        <is>
          <t>6.4</t>
        </is>
      </c>
      <c r="F55" s="22" t="inlineStr">
        <is>
          <t>Perfil profesional: nichos, formatos, restricciones, portfolio</t>
        </is>
      </c>
      <c r="G55" s="23" t="inlineStr">
        <is>
          <t>Pendiente</t>
        </is>
      </c>
      <c r="H55" s="24">
        <f>IFERROR(INDEX(Config!$B$3:$B$8,MATCH($G55,Config!$A$3:$A$8,0)),0)</f>
        <v/>
      </c>
      <c r="I55" s="23">
        <f>IFERROR(INDEX(Config!$C$3:$C$8,MATCH($G55,Config!$A$3:$A$8,0)),0)</f>
        <v/>
      </c>
      <c r="J55" s="22" t="inlineStr">
        <is>
          <t>Idem: construido del lado admin en 3.9</t>
        </is>
      </c>
    </row>
    <row r="56">
      <c r="A56" s="20" t="n">
        <v>55</v>
      </c>
      <c r="B56" s="20" t="inlineStr">
        <is>
          <t>Ola 1 - MVP: operar sin Excel</t>
        </is>
      </c>
      <c r="C56" s="20" t="inlineStr">
        <is>
          <t>F6</t>
        </is>
      </c>
      <c r="D56" s="20" t="inlineStr">
        <is>
          <t>Portal del creador</t>
        </is>
      </c>
      <c r="E56" s="21" t="inlineStr">
        <is>
          <t>6.5</t>
        </is>
      </c>
      <c r="F56" s="22" t="inlineStr">
        <is>
          <t>Mis tarifas por formato/moneda/vigencia</t>
        </is>
      </c>
      <c r="G56" s="23" t="inlineStr">
        <is>
          <t>Pendiente</t>
        </is>
      </c>
      <c r="H56" s="24">
        <f>IFERROR(INDEX(Config!$B$3:$B$8,MATCH($G56,Config!$A$3:$A$8,0)),0)</f>
        <v/>
      </c>
      <c r="I56" s="23">
        <f>IFERROR(INDEX(Config!$C$3:$C$8,MATCH($G56,Config!$A$3:$A$8,0)),0)</f>
        <v/>
      </c>
      <c r="J56" s="22" t="inlineStr">
        <is>
          <t>Idem: construido del lado admin en 3.9, con periodos sin solape</t>
        </is>
      </c>
    </row>
    <row r="57">
      <c r="A57" s="20" t="n">
        <v>56</v>
      </c>
      <c r="B57" s="20" t="inlineStr">
        <is>
          <t>Ola 1 - MVP: operar sin Excel</t>
        </is>
      </c>
      <c r="C57" s="20" t="inlineStr">
        <is>
          <t>F6</t>
        </is>
      </c>
      <c r="D57" s="20" t="inlineStr">
        <is>
          <t>Portal del creador</t>
        </is>
      </c>
      <c r="E57" s="21" t="inlineStr">
        <is>
          <t>6.6</t>
        </is>
      </c>
      <c r="F57" s="22" t="inlineStr">
        <is>
          <t>Datos fiscales y medios de pago (cifrado, enmascarado, verificacion de cambios)</t>
        </is>
      </c>
      <c r="G57" s="23" t="inlineStr">
        <is>
          <t>Pendiente</t>
        </is>
      </c>
      <c r="H57" s="24">
        <f>IFERROR(INDEX(Config!$B$3:$B$8,MATCH($G57,Config!$A$3:$A$8,0)),0)</f>
        <v/>
      </c>
      <c r="I57" s="23">
        <f>IFERROR(INDEX(Config!$C$3:$C$8,MATCH($G57,Config!$A$3:$A$8,0)),0)</f>
        <v/>
      </c>
      <c r="J57" s="22" t="inlineStr">
        <is>
          <t>Idem: construido del lado admin en 3.6 y 3.8. Bloqueo parcial por DEC-005</t>
        </is>
      </c>
    </row>
    <row r="58">
      <c r="A58" s="20" t="n">
        <v>57</v>
      </c>
      <c r="B58" s="20" t="inlineStr">
        <is>
          <t>Ola 1 - MVP: operar sin Excel</t>
        </is>
      </c>
      <c r="C58" s="20" t="inlineStr">
        <is>
          <t>F6</t>
        </is>
      </c>
      <c r="D58" s="20" t="inlineStr">
        <is>
          <t>Portal del creador</t>
        </is>
      </c>
      <c r="E58" s="21" t="inlineStr">
        <is>
          <t>6.7</t>
        </is>
      </c>
      <c r="F58" s="22" t="inlineStr">
        <is>
          <t>Flujo de aprobacion de cambios sensibles</t>
        </is>
      </c>
      <c r="G58" s="23" t="inlineStr">
        <is>
          <t>En curso</t>
        </is>
      </c>
      <c r="H58" s="24">
        <f>IFERROR(INDEX(Config!$B$3:$B$8,MATCH($G58,Config!$A$3:$A$8,0)),0)</f>
        <v/>
      </c>
      <c r="I58" s="23">
        <f>IFERROR(INDEX(Config!$C$3:$C$8,MATCH($G58,Config!$A$3:$A$8,0)),0)</f>
        <v/>
      </c>
      <c r="J58" s="22" t="inlineStr">
        <is>
          <t>La segregacion de dos personas ya esta en la base (ck_ctp_segregation, ck_cpm_segregation). Falta el flujo del lado del creador</t>
        </is>
      </c>
    </row>
    <row r="59">
      <c r="A59" s="20" t="n">
        <v>58</v>
      </c>
      <c r="B59" s="20" t="inlineStr">
        <is>
          <t>Ola 1 - MVP: operar sin Excel</t>
        </is>
      </c>
      <c r="C59" s="20" t="inlineStr">
        <is>
          <t>F6</t>
        </is>
      </c>
      <c r="D59" s="20" t="inlineStr">
        <is>
          <t>Portal del creador</t>
        </is>
      </c>
      <c r="E59" s="21" t="inlineStr">
        <is>
          <t>6.8</t>
        </is>
      </c>
      <c r="F59" s="22" t="inlineStr">
        <is>
          <t>Dashboard del creador (max. 6 KPIs) + notificaciones + barra de completitud con XP basico</t>
        </is>
      </c>
      <c r="G59" s="23" t="inlineStr">
        <is>
          <t>Pendiente</t>
        </is>
      </c>
      <c r="H59" s="24">
        <f>IFERROR(INDEX(Config!$B$3:$B$8,MATCH($G59,Config!$A$3:$A$8,0)),0)</f>
        <v/>
      </c>
      <c r="I59" s="23">
        <f>IFERROR(INDEX(Config!$C$3:$C$8,MATCH($G59,Config!$A$3:$A$8,0)),0)</f>
        <v/>
      </c>
      <c r="J59" s="22" t="inlineStr"/>
    </row>
    <row r="60">
      <c r="A60" s="20" t="n">
        <v>59</v>
      </c>
      <c r="B60" s="20" t="inlineStr">
        <is>
          <t>Ola 1 - MVP: operar sin Excel</t>
        </is>
      </c>
      <c r="C60" s="20" t="inlineStr">
        <is>
          <t>F6</t>
        </is>
      </c>
      <c r="D60" s="20" t="inlineStr">
        <is>
          <t>Portal del creador</t>
        </is>
      </c>
      <c r="E60" s="21" t="inlineStr">
        <is>
          <t>6.9</t>
        </is>
      </c>
      <c r="F60" s="22" t="inlineStr">
        <is>
          <t>QA de fase + Phase Review Report</t>
        </is>
      </c>
      <c r="G60" s="23" t="inlineStr">
        <is>
          <t>Pendiente</t>
        </is>
      </c>
      <c r="H60" s="24">
        <f>IFERROR(INDEX(Config!$B$3:$B$8,MATCH($G60,Config!$A$3:$A$8,0)),0)</f>
        <v/>
      </c>
      <c r="I60" s="23">
        <f>IFERROR(INDEX(Config!$C$3:$C$8,MATCH($G60,Config!$A$3:$A$8,0)),0)</f>
        <v/>
      </c>
      <c r="J60" s="22" t="inlineStr"/>
    </row>
    <row r="61">
      <c r="A61" s="20" t="n">
        <v>60</v>
      </c>
      <c r="B61" s="20" t="inlineStr">
        <is>
          <t>Ola 1 - MVP: operar sin Excel</t>
        </is>
      </c>
      <c r="C61" s="20" t="inlineStr">
        <is>
          <t>F7</t>
        </is>
      </c>
      <c r="D61" s="20" t="inlineStr">
        <is>
          <t>Motor de campana</t>
        </is>
      </c>
      <c r="E61" s="21" t="inlineStr">
        <is>
          <t>7.0</t>
        </is>
      </c>
      <c r="F61" s="22" t="inlineStr">
        <is>
          <t>Clientes y marcas: alta manual, contactos, datos fiscales por pais, entidad legal segun cobertura</t>
        </is>
      </c>
      <c r="G61" s="23" t="inlineStr">
        <is>
          <t>Terminado</t>
        </is>
      </c>
      <c r="H61" s="24">
        <f>IFERROR(INDEX(Config!$B$3:$B$8,MATCH($G61,Config!$A$3:$A$8,0)),0)</f>
        <v/>
      </c>
      <c r="I61" s="23">
        <f>IFERROR(INDEX(Config!$C$3:$C$8,MATCH($G61,Config!$A$3:$A$8,0)),0)</f>
        <v/>
      </c>
      <c r="J61" s="22" t="inlineStr">
        <is>
          <t>docs/fase-4/4.1 a 4.5. Bloqueo con motivo si ningun pais coincide (BR-LE-004)</t>
        </is>
      </c>
    </row>
    <row r="62">
      <c r="A62" s="20" t="n">
        <v>61</v>
      </c>
      <c r="B62" s="20" t="inlineStr">
        <is>
          <t>Ola 1 - MVP: operar sin Excel</t>
        </is>
      </c>
      <c r="C62" s="20" t="inlineStr">
        <is>
          <t>F7</t>
        </is>
      </c>
      <c r="D62" s="20" t="inlineStr">
        <is>
          <t>Motor de campana</t>
        </is>
      </c>
      <c r="E62" s="21" t="inlineStr">
        <is>
          <t>7.1</t>
        </is>
      </c>
      <c r="F62" s="22" t="inlineStr">
        <is>
          <t>Entidad Campaign + estados + transiciones + auditoria + billing_legal_entity_id congelado</t>
        </is>
      </c>
      <c r="G62" s="23" t="inlineStr">
        <is>
          <t>Terminado</t>
        </is>
      </c>
      <c r="H62" s="24">
        <f>IFERROR(INDEX(Config!$B$3:$B$8,MATCH($G62,Config!$A$3:$A$8,0)),0)</f>
        <v/>
      </c>
      <c r="I62" s="23">
        <f>IFERROR(INDEX(Config!$C$3:$C$8,MATCH($G62,Config!$A$3:$A$8,0)),0)</f>
        <v/>
      </c>
      <c r="J62" s="22" t="inlineStr">
        <is>
          <t>docs/fase-7/7.1. DEC-089 a DEC-091</t>
        </is>
      </c>
    </row>
    <row r="63">
      <c r="A63" s="20" t="n">
        <v>62</v>
      </c>
      <c r="B63" s="20" t="inlineStr">
        <is>
          <t>Ola 1 - MVP: operar sin Excel</t>
        </is>
      </c>
      <c r="C63" s="20" t="inlineStr">
        <is>
          <t>F7</t>
        </is>
      </c>
      <c r="D63" s="20" t="inlineStr">
        <is>
          <t>Motor de campana</t>
        </is>
      </c>
      <c r="E63" s="21" t="inlineStr">
        <is>
          <t>7.2</t>
        </is>
      </c>
      <c r="F63" s="22" t="inlineStr">
        <is>
          <t>Brief: requisitos y formatos, veto de BR-CAMPAIGN-004, ingreso declarado</t>
        </is>
      </c>
      <c r="G63" s="23" t="inlineStr">
        <is>
          <t>Terminado</t>
        </is>
      </c>
      <c r="H63" s="24">
        <f>IFERROR(INDEX(Config!$B$3:$B$8,MATCH($G63,Config!$A$3:$A$8,0)),0)</f>
        <v/>
      </c>
      <c r="I63" s="23">
        <f>IFERROR(INDEX(Config!$C$3:$C$8,MATCH($G63,Config!$A$3:$A$8,0)),0)</f>
        <v/>
      </c>
      <c r="J63" s="22" t="inlineStr">
        <is>
          <t>docs/fase-7/7.2. DEC-092 a DEC-094. Hashtags, menciones y assets quedaron fuera a proposito</t>
        </is>
      </c>
    </row>
    <row r="64">
      <c r="A64" s="20" t="n">
        <v>63</v>
      </c>
      <c r="B64" s="20" t="inlineStr">
        <is>
          <t>Ola 1 - MVP: operar sin Excel</t>
        </is>
      </c>
      <c r="C64" s="20" t="inlineStr">
        <is>
          <t>F7</t>
        </is>
      </c>
      <c r="D64" s="20" t="inlineStr">
        <is>
          <t>Motor de campana</t>
        </is>
      </c>
      <c r="E64" s="21" t="inlineStr">
        <is>
          <t>7.3</t>
        </is>
      </c>
      <c r="F64" s="22" t="inlineStr">
        <is>
          <t>Mercados de campana (multipais) - modelo completo, UI minima</t>
        </is>
      </c>
      <c r="G64" s="23" t="inlineStr">
        <is>
          <t>Terminado</t>
        </is>
      </c>
      <c r="H64" s="24">
        <f>IFERROR(INDEX(Config!$B$3:$B$8,MATCH($G64,Config!$A$3:$A$8,0)),0)</f>
        <v/>
      </c>
      <c r="I64" s="23">
        <f>IFERROR(INDEX(Config!$C$3:$C$8,MATCH($G64,Config!$A$3:$A$8,0)),0)</f>
        <v/>
      </c>
      <c r="J64" s="22" t="inlineStr">
        <is>
          <t>docs/fase-7/7.3. DEC-095 a DEC-098. Cierra T-33</t>
        </is>
      </c>
    </row>
    <row r="65">
      <c r="A65" s="20" t="n">
        <v>64</v>
      </c>
      <c r="B65" s="20" t="inlineStr">
        <is>
          <t>Ola 1 - MVP: operar sin Excel</t>
        </is>
      </c>
      <c r="C65" s="20" t="inlineStr">
        <is>
          <t>F7</t>
        </is>
      </c>
      <c r="D65" s="20" t="inlineStr">
        <is>
          <t>Motor de campana</t>
        </is>
      </c>
      <c r="E65" s="21" t="inlineStr">
        <is>
          <t>7.4</t>
        </is>
      </c>
      <c r="F65" s="22" t="inlineStr">
        <is>
          <t>Buscador de creadores con filtros reales + shortlist</t>
        </is>
      </c>
      <c r="G65" s="23" t="inlineStr">
        <is>
          <t>Terminado</t>
        </is>
      </c>
      <c r="H65" s="24">
        <f>IFERROR(INDEX(Config!$B$3:$B$8,MATCH($G65,Config!$A$3:$A$8,0)),0)</f>
        <v/>
      </c>
      <c r="I65" s="23">
        <f>IFERROR(INDEX(Config!$C$3:$C$8,MATCH($G65,Config!$A$3:$A$8,0)),0)</f>
        <v/>
      </c>
      <c r="J65" s="22" t="inlineStr">
        <is>
          <t>docs/fase-7/7.4. DEC-099 a DEC-102. Media BR-CAMPAIGN-007 implementada; abre T-34</t>
        </is>
      </c>
    </row>
    <row r="66">
      <c r="A66" s="20" t="n">
        <v>65</v>
      </c>
      <c r="B66" s="20" t="inlineStr">
        <is>
          <t>Ola 1 - MVP: operar sin Excel</t>
        </is>
      </c>
      <c r="C66" s="20" t="inlineStr">
        <is>
          <t>F7</t>
        </is>
      </c>
      <c r="D66" s="20" t="inlineStr">
        <is>
          <t>Motor de campana</t>
        </is>
      </c>
      <c r="E66" s="21" t="inlineStr">
        <is>
          <t>7.5</t>
        </is>
      </c>
      <c r="F66" s="22" t="inlineStr">
        <is>
          <t>Seleccion, cupos por formato, costo comprometido por creador (congelado)</t>
        </is>
      </c>
      <c r="G66" s="23" t="inlineStr">
        <is>
          <t>Terminado</t>
        </is>
      </c>
      <c r="H66" s="24">
        <f>IFERROR(INDEX(Config!$B$3:$B$8,MATCH($G66,Config!$A$3:$A$8,0)),0)</f>
        <v/>
      </c>
      <c r="I66" s="23">
        <f>IFERROR(INDEX(Config!$C$3:$C$8,MATCH($G66,Config!$A$3:$A$8,0)),0)</f>
        <v/>
      </c>
      <c r="J66" s="22" t="inlineStr">
        <is>
          <t>docs/fase-7/7.5. DEC-103 a DEC-105. BR-CAMPAIGN-005 nombraba un dato que no existia. Cupos por mercado siguen siendo objetivo, no tope</t>
        </is>
      </c>
    </row>
    <row r="67">
      <c r="A67" s="20" t="n">
        <v>66</v>
      </c>
      <c r="B67" s="20" t="inlineStr">
        <is>
          <t>Ola 1 - MVP: operar sin Excel</t>
        </is>
      </c>
      <c r="C67" s="20" t="inlineStr">
        <is>
          <t>F7</t>
        </is>
      </c>
      <c r="D67" s="20" t="inlineStr">
        <is>
          <t>Motor de campana</t>
        </is>
      </c>
      <c r="E67" s="21" t="inlineStr">
        <is>
          <t>7.6</t>
        </is>
      </c>
      <c r="F67" s="22" t="inlineStr">
        <is>
          <t>Invitaciones: envio, expiracion, aceptacion, rechazo con motivo, preguntas</t>
        </is>
      </c>
      <c r="G67" s="23" t="inlineStr">
        <is>
          <t>Terminado</t>
        </is>
      </c>
      <c r="H67" s="24">
        <f>IFERROR(INDEX(Config!$B$3:$B$8,MATCH($G67,Config!$A$3:$A$8,0)),0)</f>
        <v/>
      </c>
      <c r="I67" s="23">
        <f>IFERROR(INDEX(Config!$C$3:$C$8,MATCH($G67,Config!$A$3:$A$8,0)),0)</f>
        <v/>
      </c>
      <c r="J67" s="22" t="inlineStr">
        <is>
          <t>docs/fase-7/7.6-INVITACIONES.md. DEC-119 a DEC-123. Enlace de un solo uso, plazo por campana, rechazo con motivo y reinvitacion con constancia. Las PREGUNTAS quedan fuera: T-38</t>
        </is>
      </c>
    </row>
    <row r="68">
      <c r="A68" s="20" t="n">
        <v>67</v>
      </c>
      <c r="B68" s="20" t="inlineStr">
        <is>
          <t>Ola 1 - MVP: operar sin Excel</t>
        </is>
      </c>
      <c r="C68" s="20" t="inlineStr">
        <is>
          <t>F7</t>
        </is>
      </c>
      <c r="D68" s="20" t="inlineStr">
        <is>
          <t>Motor de campana</t>
        </is>
      </c>
      <c r="E68" s="21" t="inlineStr">
        <is>
          <t>7.7</t>
        </is>
      </c>
      <c r="F68" s="22" t="inlineStr">
        <is>
          <t>Panel de seguimiento de la campana (quien va en que estado)</t>
        </is>
      </c>
      <c r="G68" s="23" t="inlineStr">
        <is>
          <t>Pendiente</t>
        </is>
      </c>
      <c r="H68" s="24">
        <f>IFERROR(INDEX(Config!$B$3:$B$8,MATCH($G68,Config!$A$3:$A$8,0)),0)</f>
        <v/>
      </c>
      <c r="I68" s="23">
        <f>IFERROR(INDEX(Config!$C$3:$C$8,MATCH($G68,Config!$A$3:$A$8,0)),0)</f>
        <v/>
      </c>
      <c r="J68" s="22" t="inlineStr">
        <is>
          <t>SIGUIENTE ITERACION PROPUESTA. La pantalla mas usada del sistema, segun el roadmap. Ya no tiene nada delante</t>
        </is>
      </c>
    </row>
    <row r="69">
      <c r="A69" s="20" t="n">
        <v>68</v>
      </c>
      <c r="B69" s="20" t="inlineStr">
        <is>
          <t>Ola 1 - MVP: operar sin Excel</t>
        </is>
      </c>
      <c r="C69" s="20" t="inlineStr">
        <is>
          <t>F7</t>
        </is>
      </c>
      <c r="D69" s="20" t="inlineStr">
        <is>
          <t>Motor de campana</t>
        </is>
      </c>
      <c r="E69" s="21" t="inlineStr">
        <is>
          <t>7.8</t>
        </is>
      </c>
      <c r="F69" s="22" t="inlineStr">
        <is>
          <t>Logistica de producto: direccion de envio, lista de despacho, tracking, confirmacion de recepcion</t>
        </is>
      </c>
      <c r="G69" s="23" t="inlineStr">
        <is>
          <t>Pendiente</t>
        </is>
      </c>
      <c r="H69" s="24">
        <f>IFERROR(INDEX(Config!$B$3:$B$8,MATCH($G69,Config!$A$3:$A$8,0)),0)</f>
        <v/>
      </c>
      <c r="I69" s="23">
        <f>IFERROR(INDEX(Config!$C$3:$C$8,MATCH($G69,Config!$A$3:$A$8,0)),0)</f>
        <v/>
      </c>
      <c r="J69" s="22" t="inlineStr"/>
    </row>
    <row r="70">
      <c r="A70" s="20" t="n">
        <v>69</v>
      </c>
      <c r="B70" s="20" t="inlineStr">
        <is>
          <t>Ola 1 - MVP: operar sin Excel</t>
        </is>
      </c>
      <c r="C70" s="20" t="inlineStr">
        <is>
          <t>F7</t>
        </is>
      </c>
      <c r="D70" s="20" t="inlineStr">
        <is>
          <t>Motor de campana</t>
        </is>
      </c>
      <c r="E70" s="21" t="inlineStr">
        <is>
          <t>7.9</t>
        </is>
      </c>
      <c r="F70" s="22" t="inlineStr">
        <is>
          <t>Campanas UGC vs distribucion</t>
        </is>
      </c>
      <c r="G70" s="23" t="inlineStr">
        <is>
          <t>Pendiente</t>
        </is>
      </c>
      <c r="H70" s="24">
        <f>IFERROR(INDEX(Config!$B$3:$B$8,MATCH($G70,Config!$A$3:$A$8,0)),0)</f>
        <v/>
      </c>
      <c r="I70" s="23">
        <f>IFERROR(INDEX(Config!$C$3:$C$8,MATCH($G70,Config!$A$3:$A$8,0)),0)</f>
        <v/>
      </c>
      <c r="J70" s="22" t="inlineStr">
        <is>
          <t>El objetivo ugc ya es un valor valido de la campana</t>
        </is>
      </c>
    </row>
    <row r="71">
      <c r="A71" s="20" t="n">
        <v>70</v>
      </c>
      <c r="B71" s="20" t="inlineStr">
        <is>
          <t>Ola 1 - MVP: operar sin Excel</t>
        </is>
      </c>
      <c r="C71" s="20" t="inlineStr">
        <is>
          <t>F7</t>
        </is>
      </c>
      <c r="D71" s="20" t="inlineStr">
        <is>
          <t>Motor de campana</t>
        </is>
      </c>
      <c r="E71" s="21" t="inlineStr">
        <is>
          <t>7.10</t>
        </is>
      </c>
      <c r="F71" s="22" t="inlineStr">
        <is>
          <t>Gestion de reemplazos: dropped/replaced, motivo, lista de espera, reasignacion de presupuesto</t>
        </is>
      </c>
      <c r="G71" s="23" t="inlineStr">
        <is>
          <t>Pendiente</t>
        </is>
      </c>
      <c r="H71" s="24">
        <f>IFERROR(INDEX(Config!$B$3:$B$8,MATCH($G71,Config!$A$3:$A$8,0)),0)</f>
        <v/>
      </c>
      <c r="I71" s="23">
        <f>IFERROR(INDEX(Config!$C$3:$C$8,MATCH($G71,Config!$A$3:$A$8,0)),0)</f>
        <v/>
      </c>
      <c r="J71" s="22" t="inlineStr"/>
    </row>
    <row r="72">
      <c r="A72" s="20" t="n">
        <v>71</v>
      </c>
      <c r="B72" s="20" t="inlineStr">
        <is>
          <t>Ola 1 - MVP: operar sin Excel</t>
        </is>
      </c>
      <c r="C72" s="20" t="inlineStr">
        <is>
          <t>F7</t>
        </is>
      </c>
      <c r="D72" s="20" t="inlineStr">
        <is>
          <t>Motor de campana</t>
        </is>
      </c>
      <c r="E72" s="21" t="inlineStr">
        <is>
          <t>7.11</t>
        </is>
      </c>
      <c r="F72" s="22" t="inlineStr">
        <is>
          <t>Deteccion de conflictos de marca y exclusividades vigentes</t>
        </is>
      </c>
      <c r="G72" s="23" t="inlineStr">
        <is>
          <t>En curso</t>
        </is>
      </c>
      <c r="H72" s="24">
        <f>IFERROR(INDEX(Config!$B$3:$B$8,MATCH($G72,Config!$A$3:$A$8,0)),0)</f>
        <v/>
      </c>
      <c r="I72" s="23">
        <f>IFERROR(INDEX(Config!$C$3:$C$8,MATCH($G72,Config!$A$3:$A$8,0)),0)</f>
        <v/>
      </c>
      <c r="J72" s="22" t="inlineStr">
        <is>
          <t>MEDIA hecha en 7.4: la categoria que el creador declaro que no trabaja ya excluye (DEC-100). Faltan competidores y exclusividades vigentes</t>
        </is>
      </c>
    </row>
    <row r="73">
      <c r="A73" s="20" t="n">
        <v>72</v>
      </c>
      <c r="B73" s="20" t="inlineStr">
        <is>
          <t>Ola 1 - MVP: operar sin Excel</t>
        </is>
      </c>
      <c r="C73" s="20" t="inlineStr">
        <is>
          <t>F7</t>
        </is>
      </c>
      <c r="D73" s="20" t="inlineStr">
        <is>
          <t>Motor de campana</t>
        </is>
      </c>
      <c r="E73" s="21" t="inlineStr">
        <is>
          <t>7.12</t>
        </is>
      </c>
      <c r="F73" s="22" t="inlineStr">
        <is>
          <t>Calendario de campana</t>
        </is>
      </c>
      <c r="G73" s="23" t="inlineStr">
        <is>
          <t>Pendiente</t>
        </is>
      </c>
      <c r="H73" s="24">
        <f>IFERROR(INDEX(Config!$B$3:$B$8,MATCH($G73,Config!$A$3:$A$8,0)),0)</f>
        <v/>
      </c>
      <c r="I73" s="23">
        <f>IFERROR(INDEX(Config!$C$3:$C$8,MATCH($G73,Config!$A$3:$A$8,0)),0)</f>
        <v/>
      </c>
      <c r="J73" s="22" t="inlineStr"/>
    </row>
    <row r="74">
      <c r="A74" s="20" t="n">
        <v>73</v>
      </c>
      <c r="B74" s="20" t="inlineStr">
        <is>
          <t>Ola 1 - MVP: operar sin Excel</t>
        </is>
      </c>
      <c r="C74" s="20" t="inlineStr">
        <is>
          <t>F7</t>
        </is>
      </c>
      <c r="D74" s="20" t="inlineStr">
        <is>
          <t>Motor de campana</t>
        </is>
      </c>
      <c r="E74" s="21" t="inlineStr">
        <is>
          <t>7.13</t>
        </is>
      </c>
      <c r="F74" s="22" t="inlineStr">
        <is>
          <t>QA de fase + Phase Review Report</t>
        </is>
      </c>
      <c r="G74" s="23" t="inlineStr">
        <is>
          <t>Pendiente</t>
        </is>
      </c>
      <c r="H74" s="24">
        <f>IFERROR(INDEX(Config!$B$3:$B$8,MATCH($G74,Config!$A$3:$A$8,0)),0)</f>
        <v/>
      </c>
      <c r="I74" s="23">
        <f>IFERROR(INDEX(Config!$C$3:$C$8,MATCH($G74,Config!$A$3:$A$8,0)),0)</f>
        <v/>
      </c>
      <c r="J74" s="22" t="inlineStr"/>
    </row>
    <row r="75">
      <c r="A75" s="20" t="n">
        <v>74</v>
      </c>
      <c r="B75" s="20" t="inlineStr">
        <is>
          <t>Ola 1 - MVP: operar sin Excel</t>
        </is>
      </c>
      <c r="C75" s="20" t="inlineStr">
        <is>
          <t>F8</t>
        </is>
      </c>
      <c r="D75" s="20" t="inlineStr">
        <is>
          <t>Contenido, revision y evidencia</t>
        </is>
      </c>
      <c r="E75" s="21" t="inlineStr">
        <is>
          <t>8.1</t>
        </is>
      </c>
      <c r="F75" s="22" t="inlineStr">
        <is>
          <t>Entregables: tipos, subida desde movil, enlaces, captions, hashtags</t>
        </is>
      </c>
      <c r="G75" s="23" t="inlineStr">
        <is>
          <t>Pendiente</t>
        </is>
      </c>
      <c r="H75" s="24">
        <f>IFERROR(INDEX(Config!$B$3:$B$8,MATCH($G75,Config!$A$3:$A$8,0)),0)</f>
        <v/>
      </c>
      <c r="I75" s="23">
        <f>IFERROR(INDEX(Config!$C$3:$C$8,MATCH($G75,Config!$A$3:$A$8,0)),0)</f>
        <v/>
      </c>
      <c r="J75" s="22" t="inlineStr">
        <is>
          <t>Tablas deliverables y deliverable_versions disenadas en 2.12</t>
        </is>
      </c>
    </row>
    <row r="76">
      <c r="A76" s="20" t="n">
        <v>75</v>
      </c>
      <c r="B76" s="20" t="inlineStr">
        <is>
          <t>Ola 1 - MVP: operar sin Excel</t>
        </is>
      </c>
      <c r="C76" s="20" t="inlineStr">
        <is>
          <t>F8</t>
        </is>
      </c>
      <c r="D76" s="20" t="inlineStr">
        <is>
          <t>Contenido, revision y evidencia</t>
        </is>
      </c>
      <c r="E76" s="21" t="inlineStr">
        <is>
          <t>8.2</t>
        </is>
      </c>
      <c r="F76" s="22" t="inlineStr">
        <is>
          <t>Versionado append-only + puntero de version actual</t>
        </is>
      </c>
      <c r="G76" s="23" t="inlineStr">
        <is>
          <t>Pendiente</t>
        </is>
      </c>
      <c r="H76" s="24">
        <f>IFERROR(INDEX(Config!$B$3:$B$8,MATCH($G76,Config!$A$3:$A$8,0)),0)</f>
        <v/>
      </c>
      <c r="I76" s="23">
        <f>IFERROR(INDEX(Config!$C$3:$C$8,MATCH($G76,Config!$A$3:$A$8,0)),0)</f>
        <v/>
      </c>
      <c r="J76" s="22" t="inlineStr">
        <is>
          <t>Disenado en 2.12</t>
        </is>
      </c>
    </row>
    <row r="77">
      <c r="A77" s="20" t="n">
        <v>76</v>
      </c>
      <c r="B77" s="20" t="inlineStr">
        <is>
          <t>Ola 1 - MVP: operar sin Excel</t>
        </is>
      </c>
      <c r="C77" s="20" t="inlineStr">
        <is>
          <t>F8</t>
        </is>
      </c>
      <c r="D77" s="20" t="inlineStr">
        <is>
          <t>Contenido, revision y evidencia</t>
        </is>
      </c>
      <c r="E77" s="21" t="inlineStr">
        <is>
          <t>8.3</t>
        </is>
      </c>
      <c r="F77" s="22" t="inlineStr">
        <is>
          <t>Cola de revision interna + comentarios por version + solicitud de correccion</t>
        </is>
      </c>
      <c r="G77" s="23" t="inlineStr">
        <is>
          <t>Pendiente</t>
        </is>
      </c>
      <c r="H77" s="24">
        <f>IFERROR(INDEX(Config!$B$3:$B$8,MATCH($G77,Config!$A$3:$A$8,0)),0)</f>
        <v/>
      </c>
      <c r="I77" s="23">
        <f>IFERROR(INDEX(Config!$C$3:$C$8,MATCH($G77,Config!$A$3:$A$8,0)),0)</f>
        <v/>
      </c>
      <c r="J77" s="22" t="inlineStr"/>
    </row>
    <row r="78">
      <c r="A78" s="20" t="n">
        <v>77</v>
      </c>
      <c r="B78" s="20" t="inlineStr">
        <is>
          <t>Ola 1 - MVP: operar sin Excel</t>
        </is>
      </c>
      <c r="C78" s="20" t="inlineStr">
        <is>
          <t>F8</t>
        </is>
      </c>
      <c r="D78" s="20" t="inlineStr">
        <is>
          <t>Contenido, revision y evidencia</t>
        </is>
      </c>
      <c r="E78" s="21" t="inlineStr">
        <is>
          <t>8.4</t>
        </is>
      </c>
      <c r="F78" s="22" t="inlineStr">
        <is>
          <t>Aprobacion interna y limite de rondas</t>
        </is>
      </c>
      <c r="G78" s="23" t="inlineStr">
        <is>
          <t>Pendiente</t>
        </is>
      </c>
      <c r="H78" s="24">
        <f>IFERROR(INDEX(Config!$B$3:$B$8,MATCH($G78,Config!$A$3:$A$8,0)),0)</f>
        <v/>
      </c>
      <c r="I78" s="23">
        <f>IFERROR(INDEX(Config!$C$3:$C$8,MATCH($G78,Config!$A$3:$A$8,0)),0)</f>
        <v/>
      </c>
      <c r="J78" s="22" t="inlineStr">
        <is>
          <t>included_revision_rounds ya se guarda en la campana</t>
        </is>
      </c>
    </row>
    <row r="79">
      <c r="A79" s="20" t="n">
        <v>78</v>
      </c>
      <c r="B79" s="20" t="inlineStr">
        <is>
          <t>Ola 1 - MVP: operar sin Excel</t>
        </is>
      </c>
      <c r="C79" s="20" t="inlineStr">
        <is>
          <t>F8</t>
        </is>
      </c>
      <c r="D79" s="20" t="inlineStr">
        <is>
          <t>Contenido, revision y evidencia</t>
        </is>
      </c>
      <c r="E79" s="21" t="inlineStr">
        <is>
          <t>8.5</t>
        </is>
      </c>
      <c r="F79" s="22" t="inlineStr">
        <is>
          <t>Aprobacion del cliente por enlace firmado (sin portal completo)</t>
        </is>
      </c>
      <c r="G79" s="23" t="inlineStr">
        <is>
          <t>Pendiente</t>
        </is>
      </c>
      <c r="H79" s="24">
        <f>IFERROR(INDEX(Config!$B$3:$B$8,MATCH($G79,Config!$A$3:$A$8,0)),0)</f>
        <v/>
      </c>
      <c r="I79" s="23">
        <f>IFERROR(INDEX(Config!$C$3:$C$8,MATCH($G79,Config!$A$3:$A$8,0)),0)</f>
        <v/>
      </c>
      <c r="J79" s="22" t="inlineStr"/>
    </row>
    <row r="80">
      <c r="A80" s="20" t="n">
        <v>79</v>
      </c>
      <c r="B80" s="20" t="inlineStr">
        <is>
          <t>Ola 1 - MVP: operar sin Excel</t>
        </is>
      </c>
      <c r="C80" s="20" t="inlineStr">
        <is>
          <t>F8</t>
        </is>
      </c>
      <c r="D80" s="20" t="inlineStr">
        <is>
          <t>Contenido, revision y evidencia</t>
        </is>
      </c>
      <c r="E80" s="21" t="inlineStr">
        <is>
          <t>8.6</t>
        </is>
      </c>
      <c r="F80" s="22" t="inlineStr">
        <is>
          <t>Programacion y registro de publicacion (URL)</t>
        </is>
      </c>
      <c r="G80" s="23" t="inlineStr">
        <is>
          <t>Pendiente</t>
        </is>
      </c>
      <c r="H80" s="24">
        <f>IFERROR(INDEX(Config!$B$3:$B$8,MATCH($G80,Config!$A$3:$A$8,0)),0)</f>
        <v/>
      </c>
      <c r="I80" s="23">
        <f>IFERROR(INDEX(Config!$C$3:$C$8,MATCH($G80,Config!$A$3:$A$8,0)),0)</f>
        <v/>
      </c>
      <c r="J80" s="22" t="inlineStr"/>
    </row>
    <row r="81">
      <c r="A81" s="20" t="n">
        <v>80</v>
      </c>
      <c r="B81" s="20" t="inlineStr">
        <is>
          <t>Ola 1 - MVP: operar sin Excel</t>
        </is>
      </c>
      <c r="C81" s="20" t="inlineStr">
        <is>
          <t>F8</t>
        </is>
      </c>
      <c r="D81" s="20" t="inlineStr">
        <is>
          <t>Contenido, revision y evidencia</t>
        </is>
      </c>
      <c r="E81" s="21" t="inlineStr">
        <is>
          <t>8.7</t>
        </is>
      </c>
      <c r="F81" s="22" t="inlineStr">
        <is>
          <t>Verificacion de publicacion + archivado de evidencia</t>
        </is>
      </c>
      <c r="G81" s="23" t="inlineStr">
        <is>
          <t>Pendiente</t>
        </is>
      </c>
      <c r="H81" s="24">
        <f>IFERROR(INDEX(Config!$B$3:$B$8,MATCH($G81,Config!$A$3:$A$8,0)),0)</f>
        <v/>
      </c>
      <c r="I81" s="23">
        <f>IFERROR(INDEX(Config!$C$3:$C$8,MATCH($G81,Config!$A$3:$A$8,0)),0)</f>
        <v/>
      </c>
      <c r="J81" s="22" t="inlineStr">
        <is>
          <t>Tabla publication_evidence disenada</t>
        </is>
      </c>
    </row>
    <row r="82">
      <c r="A82" s="20" t="n">
        <v>81</v>
      </c>
      <c r="B82" s="20" t="inlineStr">
        <is>
          <t>Ola 1 - MVP: operar sin Excel</t>
        </is>
      </c>
      <c r="C82" s="20" t="inlineStr">
        <is>
          <t>F8</t>
        </is>
      </c>
      <c r="D82" s="20" t="inlineStr">
        <is>
          <t>Contenido, revision y evidencia</t>
        </is>
      </c>
      <c r="E82" s="21" t="inlineStr">
        <is>
          <t>8.8</t>
        </is>
      </c>
      <c r="F82" s="22" t="inlineStr">
        <is>
          <t>Control de permanencia minima del post</t>
        </is>
      </c>
      <c r="G82" s="23" t="inlineStr">
        <is>
          <t>Pendiente</t>
        </is>
      </c>
      <c r="H82" s="24">
        <f>IFERROR(INDEX(Config!$B$3:$B$8,MATCH($G82,Config!$A$3:$A$8,0)),0)</f>
        <v/>
      </c>
      <c r="I82" s="23">
        <f>IFERROR(INDEX(Config!$C$3:$C$8,MATCH($G82,Config!$A$3:$A$8,0)),0)</f>
        <v/>
      </c>
      <c r="J82" s="22" t="inlineStr">
        <is>
          <t>permanence_days ya se pide en el brief (7.2) y tiene tope desde 7.3</t>
        </is>
      </c>
    </row>
    <row r="83">
      <c r="A83" s="20" t="n">
        <v>82</v>
      </c>
      <c r="B83" s="20" t="inlineStr">
        <is>
          <t>Ola 1 - MVP: operar sin Excel</t>
        </is>
      </c>
      <c r="C83" s="20" t="inlineStr">
        <is>
          <t>F8</t>
        </is>
      </c>
      <c r="D83" s="20" t="inlineStr">
        <is>
          <t>Contenido, revision y evidencia</t>
        </is>
      </c>
      <c r="E83" s="21" t="inlineStr">
        <is>
          <t>8.9</t>
        </is>
      </c>
      <c r="F83" s="22" t="inlineStr">
        <is>
          <t>Hilos de mensajes creador &lt;-&gt; equipo por campana</t>
        </is>
      </c>
      <c r="G83" s="23" t="inlineStr">
        <is>
          <t>Pendiente</t>
        </is>
      </c>
      <c r="H83" s="24">
        <f>IFERROR(INDEX(Config!$B$3:$B$8,MATCH($G83,Config!$A$3:$A$8,0)),0)</f>
        <v/>
      </c>
      <c r="I83" s="23">
        <f>IFERROR(INDEX(Config!$C$3:$C$8,MATCH($G83,Config!$A$3:$A$8,0)),0)</f>
        <v/>
      </c>
      <c r="J83" s="22" t="inlineStr"/>
    </row>
    <row r="84">
      <c r="A84" s="20" t="n">
        <v>83</v>
      </c>
      <c r="B84" s="20" t="inlineStr">
        <is>
          <t>Ola 1 - MVP: operar sin Excel</t>
        </is>
      </c>
      <c r="C84" s="20" t="inlineStr">
        <is>
          <t>F8</t>
        </is>
      </c>
      <c r="D84" s="20" t="inlineStr">
        <is>
          <t>Contenido, revision y evidencia</t>
        </is>
      </c>
      <c r="E84" s="21" t="inlineStr">
        <is>
          <t>8.10</t>
        </is>
      </c>
      <c r="F84" s="22" t="inlineStr">
        <is>
          <t>Derechos de uso: alcance, territorio, canales, exclusividad, vigencia</t>
        </is>
      </c>
      <c r="G84" s="23" t="inlineStr">
        <is>
          <t>Pendiente</t>
        </is>
      </c>
      <c r="H84" s="24">
        <f>IFERROR(INDEX(Config!$B$3:$B$8,MATCH($G84,Config!$A$3:$A$8,0)),0)</f>
        <v/>
      </c>
      <c r="I84" s="23">
        <f>IFERROR(INDEX(Config!$C$3:$C$8,MATCH($G84,Config!$A$3:$A$8,0)),0)</f>
        <v/>
      </c>
      <c r="J84" s="22" t="inlineStr"/>
    </row>
    <row r="85">
      <c r="A85" s="20" t="n">
        <v>84</v>
      </c>
      <c r="B85" s="20" t="inlineStr">
        <is>
          <t>Ola 1 - MVP: operar sin Excel</t>
        </is>
      </c>
      <c r="C85" s="20" t="inlineStr">
        <is>
          <t>F8</t>
        </is>
      </c>
      <c r="D85" s="20" t="inlineStr">
        <is>
          <t>Contenido, revision y evidencia</t>
        </is>
      </c>
      <c r="E85" s="21" t="inlineStr">
        <is>
          <t>8.11</t>
        </is>
      </c>
      <c r="F85" s="22" t="inlineStr">
        <is>
          <t>QA de fase + Phase Review Report</t>
        </is>
      </c>
      <c r="G85" s="23" t="inlineStr">
        <is>
          <t>Pendiente</t>
        </is>
      </c>
      <c r="H85" s="24">
        <f>IFERROR(INDEX(Config!$B$3:$B$8,MATCH($G85,Config!$A$3:$A$8,0)),0)</f>
        <v/>
      </c>
      <c r="I85" s="23">
        <f>IFERROR(INDEX(Config!$C$3:$C$8,MATCH($G85,Config!$A$3:$A$8,0)),0)</f>
        <v/>
      </c>
      <c r="J85" s="22" t="inlineStr"/>
    </row>
    <row r="86">
      <c r="A86" s="20" t="n">
        <v>85</v>
      </c>
      <c r="B86" s="20" t="inlineStr">
        <is>
          <t>Ola 1 - MVP: operar sin Excel</t>
        </is>
      </c>
      <c r="C86" s="20" t="inlineStr">
        <is>
          <t>F9</t>
        </is>
      </c>
      <c r="D86" s="20" t="inlineStr">
        <is>
          <t>Finanzas</t>
        </is>
      </c>
      <c r="E86" s="21" t="inlineStr">
        <is>
          <t>9.1</t>
        </is>
      </c>
      <c r="F86" s="22" t="inlineStr">
        <is>
          <t>Monedas, tipo de cambio con historial y proveedor configurable</t>
        </is>
      </c>
      <c r="G86" s="23" t="inlineStr">
        <is>
          <t>En curso</t>
        </is>
      </c>
      <c r="H86" s="24">
        <f>IFERROR(INDEX(Config!$B$3:$B$8,MATCH($G86,Config!$A$3:$A$8,0)),0)</f>
        <v/>
      </c>
      <c r="I86" s="23">
        <f>IFERROR(INDEX(Config!$C$3:$C$8,MATCH($G86,Config!$A$3:$A$8,0)),0)</f>
        <v/>
      </c>
      <c r="J86" s="22" t="inlineStr">
        <is>
          <t>Tablas currencies y exchange_rates existen y estan sembradas. El proveedor configurable depende de 4.6b</t>
        </is>
      </c>
    </row>
    <row r="87">
      <c r="A87" s="20" t="n">
        <v>86</v>
      </c>
      <c r="B87" s="20" t="inlineStr">
        <is>
          <t>Ola 1 - MVP: operar sin Excel</t>
        </is>
      </c>
      <c r="C87" s="20" t="inlineStr">
        <is>
          <t>F9</t>
        </is>
      </c>
      <c r="D87" s="20" t="inlineStr">
        <is>
          <t>Finanzas</t>
        </is>
      </c>
      <c r="E87" s="21" t="inlineStr">
        <is>
          <t>9.2</t>
        </is>
      </c>
      <c r="F87" s="22" t="inlineStr">
        <is>
          <t>Ledger append-only del creador + estados de asiento</t>
        </is>
      </c>
      <c r="G87" s="23" t="inlineStr">
        <is>
          <t>Pendiente</t>
        </is>
      </c>
      <c r="H87" s="24">
        <f>IFERROR(INDEX(Config!$B$3:$B$8,MATCH($G87,Config!$A$3:$A$8,0)),0)</f>
        <v/>
      </c>
      <c r="I87" s="23">
        <f>IFERROR(INDEX(Config!$C$3:$C$8,MATCH($G87,Config!$A$3:$A$8,0)),0)</f>
        <v/>
      </c>
      <c r="J87" s="22" t="inlineStr">
        <is>
          <t>Tabla ledger_entries disenada en 2.13</t>
        </is>
      </c>
    </row>
    <row r="88">
      <c r="A88" s="20" t="n">
        <v>87</v>
      </c>
      <c r="B88" s="20" t="inlineStr">
        <is>
          <t>Ola 1 - MVP: operar sin Excel</t>
        </is>
      </c>
      <c r="C88" s="20" t="inlineStr">
        <is>
          <t>F9</t>
        </is>
      </c>
      <c r="D88" s="20" t="inlineStr">
        <is>
          <t>Finanzas</t>
        </is>
      </c>
      <c r="E88" s="21" t="inlineStr">
        <is>
          <t>9.3</t>
        </is>
      </c>
      <c r="F88" s="22" t="inlineStr">
        <is>
          <t>Devengo automatico por eventos de campana</t>
        </is>
      </c>
      <c r="G88" s="23" t="inlineStr">
        <is>
          <t>Pendiente</t>
        </is>
      </c>
      <c r="H88" s="24">
        <f>IFERROR(INDEX(Config!$B$3:$B$8,MATCH($G88,Config!$A$3:$A$8,0)),0)</f>
        <v/>
      </c>
      <c r="I88" s="23">
        <f>IFERROR(INDEX(Config!$C$3:$C$8,MATCH($G88,Config!$A$3:$A$8,0)),0)</f>
        <v/>
      </c>
      <c r="J88" s="22" t="inlineStr"/>
    </row>
    <row r="89">
      <c r="A89" s="20" t="n">
        <v>88</v>
      </c>
      <c r="B89" s="20" t="inlineStr">
        <is>
          <t>Ola 1 - MVP: operar sin Excel</t>
        </is>
      </c>
      <c r="C89" s="20" t="inlineStr">
        <is>
          <t>F9</t>
        </is>
      </c>
      <c r="D89" s="20" t="inlineStr">
        <is>
          <t>Finanzas</t>
        </is>
      </c>
      <c r="E89" s="21" t="inlineStr">
        <is>
          <t>9.4</t>
        </is>
      </c>
      <c r="F89" s="22" t="inlineStr">
        <is>
          <t>Aprobacion de ganancias, ajustes, bonos, retenciones</t>
        </is>
      </c>
      <c r="G89" s="23" t="inlineStr">
        <is>
          <t>Pendiente</t>
        </is>
      </c>
      <c r="H89" s="24">
        <f>IFERROR(INDEX(Config!$B$3:$B$8,MATCH($G89,Config!$A$3:$A$8,0)),0)</f>
        <v/>
      </c>
      <c r="I89" s="23">
        <f>IFERROR(INDEX(Config!$C$3:$C$8,MATCH($G89,Config!$A$3:$A$8,0)),0)</f>
        <v/>
      </c>
      <c r="J89" s="22" t="inlineStr">
        <is>
          <t>Retenciones disenadas en 2.15</t>
        </is>
      </c>
    </row>
    <row r="90">
      <c r="A90" s="20" t="n">
        <v>89</v>
      </c>
      <c r="B90" s="20" t="inlineStr">
        <is>
          <t>Ola 1 - MVP: operar sin Excel</t>
        </is>
      </c>
      <c r="C90" s="20" t="inlineStr">
        <is>
          <t>F9</t>
        </is>
      </c>
      <c r="D90" s="20" t="inlineStr">
        <is>
          <t>Finanzas</t>
        </is>
      </c>
      <c r="E90" s="21" t="inlineStr">
        <is>
          <t>9.5</t>
        </is>
      </c>
      <c r="F90" s="22" t="inlineStr">
        <is>
          <t>Requisitos documentales por pais/regimen</t>
        </is>
      </c>
      <c r="G90" s="23" t="inlineStr">
        <is>
          <t>Bloqueado</t>
        </is>
      </c>
      <c r="H90" s="24">
        <f>IFERROR(INDEX(Config!$B$3:$B$8,MATCH($G90,Config!$A$3:$A$8,0)),0)</f>
        <v/>
      </c>
      <c r="I90" s="23">
        <f>IFERROR(INDEX(Config!$C$3:$C$8,MATCH($G90,Config!$A$3:$A$8,0)),0)</f>
        <v/>
      </c>
      <c r="J90" s="22" t="inlineStr">
        <is>
          <t>BLOQUEADA por Q-40 (tasa de retencion a no domiciliados): pregunta para el contador</t>
        </is>
      </c>
    </row>
    <row r="91">
      <c r="A91" s="20" t="n">
        <v>90</v>
      </c>
      <c r="B91" s="20" t="inlineStr">
        <is>
          <t>Ola 1 - MVP: operar sin Excel</t>
        </is>
      </c>
      <c r="C91" s="20" t="inlineStr">
        <is>
          <t>F9</t>
        </is>
      </c>
      <c r="D91" s="20" t="inlineStr">
        <is>
          <t>Finanzas</t>
        </is>
      </c>
      <c r="E91" s="21" t="inlineStr">
        <is>
          <t>9.6</t>
        </is>
      </c>
      <c r="F91" s="22" t="inlineStr">
        <is>
          <t>Lotes de pago: generacion, aprobacion (doble control sobre umbral), exportacion bancaria</t>
        </is>
      </c>
      <c r="G91" s="23" t="inlineStr">
        <is>
          <t>Pendiente</t>
        </is>
      </c>
      <c r="H91" s="24">
        <f>IFERROR(INDEX(Config!$B$3:$B$8,MATCH($G91,Config!$A$3:$A$8,0)),0)</f>
        <v/>
      </c>
      <c r="I91" s="23">
        <f>IFERROR(INDEX(Config!$C$3:$C$8,MATCH($G91,Config!$A$3:$A$8,0)),0)</f>
        <v/>
      </c>
      <c r="J91" s="22" t="inlineStr">
        <is>
          <t>Tablas payout_batches y payouts disenadas</t>
        </is>
      </c>
    </row>
    <row r="92">
      <c r="A92" s="20" t="n">
        <v>91</v>
      </c>
      <c r="B92" s="20" t="inlineStr">
        <is>
          <t>Ola 1 - MVP: operar sin Excel</t>
        </is>
      </c>
      <c r="C92" s="20" t="inlineStr">
        <is>
          <t>F9</t>
        </is>
      </c>
      <c r="D92" s="20" t="inlineStr">
        <is>
          <t>Finanzas</t>
        </is>
      </c>
      <c r="E92" s="21" t="inlineStr">
        <is>
          <t>9.7</t>
        </is>
      </c>
      <c r="F92" s="22" t="inlineStr">
        <is>
          <t>Registro de pago, comprobante, notificacion al creador</t>
        </is>
      </c>
      <c r="G92" s="23" t="inlineStr">
        <is>
          <t>Pendiente</t>
        </is>
      </c>
      <c r="H92" s="24">
        <f>IFERROR(INDEX(Config!$B$3:$B$8,MATCH($G92,Config!$A$3:$A$8,0)),0)</f>
        <v/>
      </c>
      <c r="I92" s="23">
        <f>IFERROR(INDEX(Config!$C$3:$C$8,MATCH($G92,Config!$A$3:$A$8,0)),0)</f>
        <v/>
      </c>
      <c r="J92" s="22" t="inlineStr"/>
    </row>
    <row r="93">
      <c r="A93" s="20" t="n">
        <v>92</v>
      </c>
      <c r="B93" s="20" t="inlineStr">
        <is>
          <t>Ola 1 - MVP: operar sin Excel</t>
        </is>
      </c>
      <c r="C93" s="20" t="inlineStr">
        <is>
          <t>F9</t>
        </is>
      </c>
      <c r="D93" s="20" t="inlineStr">
        <is>
          <t>Finanzas</t>
        </is>
      </c>
      <c r="E93" s="21" t="inlineStr">
        <is>
          <t>9.8</t>
        </is>
      </c>
      <c r="F93" s="22" t="inlineStr">
        <is>
          <t>Vista Mis ingresos en el portal del creador</t>
        </is>
      </c>
      <c r="G93" s="23" t="inlineStr">
        <is>
          <t>Pendiente</t>
        </is>
      </c>
      <c r="H93" s="24">
        <f>IFERROR(INDEX(Config!$B$3:$B$8,MATCH($G93,Config!$A$3:$A$8,0)),0)</f>
        <v/>
      </c>
      <c r="I93" s="23">
        <f>IFERROR(INDEX(Config!$C$3:$C$8,MATCH($G93,Config!$A$3:$A$8,0)),0)</f>
        <v/>
      </c>
      <c r="J93" s="22" t="inlineStr">
        <is>
          <t>Depende de F6</t>
        </is>
      </c>
    </row>
    <row r="94">
      <c r="A94" s="20" t="n">
        <v>93</v>
      </c>
      <c r="B94" s="20" t="inlineStr">
        <is>
          <t>Ola 1 - MVP: operar sin Excel</t>
        </is>
      </c>
      <c r="C94" s="20" t="inlineStr">
        <is>
          <t>F9</t>
        </is>
      </c>
      <c r="D94" s="20" t="inlineStr">
        <is>
          <t>Finanzas</t>
        </is>
      </c>
      <c r="E94" s="21" t="inlineStr">
        <is>
          <t>9.9</t>
        </is>
      </c>
      <c r="F94" s="22" t="inlineStr">
        <is>
          <t>Facturacion al cliente emitida desde la entidad legal</t>
        </is>
      </c>
      <c r="G94" s="23" t="inlineStr">
        <is>
          <t>Bloqueado</t>
        </is>
      </c>
      <c r="H94" s="24">
        <f>IFERROR(INDEX(Config!$B$3:$B$8,MATCH($G94,Config!$A$3:$A$8,0)),0)</f>
        <v/>
      </c>
      <c r="I94" s="23">
        <f>IFERROR(INDEX(Config!$C$3:$C$8,MATCH($G94,Config!$A$3:$A$8,0)),0)</f>
        <v/>
      </c>
      <c r="J94" s="22" t="inlineStr">
        <is>
          <t>BLOQUEADA por Q-44 (exportacion de servicios vs IGV 18%): pregunta para el contador</t>
        </is>
      </c>
    </row>
    <row r="95">
      <c r="A95" s="20" t="n">
        <v>94</v>
      </c>
      <c r="B95" s="20" t="inlineStr">
        <is>
          <t>Ola 1 - MVP: operar sin Excel</t>
        </is>
      </c>
      <c r="C95" s="20" t="inlineStr">
        <is>
          <t>F9</t>
        </is>
      </c>
      <c r="D95" s="20" t="inlineStr">
        <is>
          <t>Finanzas</t>
        </is>
      </c>
      <c r="E95" s="21" t="inlineStr">
        <is>
          <t>9.10</t>
        </is>
      </c>
      <c r="F95" s="22" t="inlineStr">
        <is>
          <t>Rentabilidad por campana (P&amp;L interno) y por sociedad, con acceso estricto</t>
        </is>
      </c>
      <c r="G95" s="23" t="inlineStr">
        <is>
          <t>Pendiente</t>
        </is>
      </c>
      <c r="H95" s="24">
        <f>IFERROR(INDEX(Config!$B$3:$B$8,MATCH($G95,Config!$A$3:$A$8,0)),0)</f>
        <v/>
      </c>
      <c r="I95" s="23">
        <f>IFERROR(INDEX(Config!$C$3:$C$8,MATCH($G95,Config!$A$3:$A$8,0)),0)</f>
        <v/>
      </c>
      <c r="J95" s="22" t="inlineStr">
        <is>
          <t>Nunca mostrar el margen interno a clientes ni creadores</t>
        </is>
      </c>
    </row>
    <row r="96">
      <c r="A96" s="20" t="n">
        <v>95</v>
      </c>
      <c r="B96" s="20" t="inlineStr">
        <is>
          <t>Ola 1 - MVP: operar sin Excel</t>
        </is>
      </c>
      <c r="C96" s="20" t="inlineStr">
        <is>
          <t>F9</t>
        </is>
      </c>
      <c r="D96" s="20" t="inlineStr">
        <is>
          <t>Finanzas</t>
        </is>
      </c>
      <c r="E96" s="21" t="inlineStr">
        <is>
          <t>9.11</t>
        </is>
      </c>
      <c r="F96" s="22" t="inlineStr">
        <is>
          <t>Bloqueo de billing_legal_entity distinto de settlement_legal_entity en el MVP</t>
        </is>
      </c>
      <c r="G96" s="23" t="inlineStr">
        <is>
          <t>Pendiente</t>
        </is>
      </c>
      <c r="H96" s="24">
        <f>IFERROR(INDEX(Config!$B$3:$B$8,MATCH($G96,Config!$A$3:$A$8,0)),0)</f>
        <v/>
      </c>
      <c r="I96" s="23">
        <f>IFERROR(INDEX(Config!$C$3:$C$8,MATCH($G96,Config!$A$3:$A$8,0)),0)</f>
        <v/>
      </c>
      <c r="J96" s="22" t="inlineStr">
        <is>
          <t>DEC-020, BR-LE-009</t>
        </is>
      </c>
    </row>
    <row r="97">
      <c r="A97" s="20" t="n">
        <v>96</v>
      </c>
      <c r="B97" s="20" t="inlineStr">
        <is>
          <t>Ola 1 - MVP: operar sin Excel</t>
        </is>
      </c>
      <c r="C97" s="20" t="inlineStr">
        <is>
          <t>F9</t>
        </is>
      </c>
      <c r="D97" s="20" t="inlineStr">
        <is>
          <t>Finanzas</t>
        </is>
      </c>
      <c r="E97" s="21" t="inlineStr">
        <is>
          <t>9.12</t>
        </is>
      </c>
      <c r="F97" s="22" t="inlineStr">
        <is>
          <t>Series y numeracion correlativa por entidad legal, con bloqueo y pruebas de concurrencia</t>
        </is>
      </c>
      <c r="G97" s="23" t="inlineStr">
        <is>
          <t>Pendiente</t>
        </is>
      </c>
      <c r="H97" s="24">
        <f>IFERROR(INDEX(Config!$B$3:$B$8,MATCH($G97,Config!$A$3:$A$8,0)),0)</f>
        <v/>
      </c>
      <c r="I97" s="23">
        <f>IFERROR(INDEX(Config!$C$3:$C$8,MATCH($G97,Config!$A$3:$A$8,0)),0)</f>
        <v/>
      </c>
      <c r="J97" s="22" t="inlineStr">
        <is>
          <t>Tabla document_series disenada. El aparato de pruebas de concurrencia ya existe (4.11)</t>
        </is>
      </c>
    </row>
    <row r="98">
      <c r="A98" s="20" t="n">
        <v>97</v>
      </c>
      <c r="B98" s="20" t="inlineStr">
        <is>
          <t>Ola 1 - MVP: operar sin Excel</t>
        </is>
      </c>
      <c r="C98" s="20" t="inlineStr">
        <is>
          <t>F9</t>
        </is>
      </c>
      <c r="D98" s="20" t="inlineStr">
        <is>
          <t>Finanzas</t>
        </is>
      </c>
      <c r="E98" s="21" t="inlineStr">
        <is>
          <t>9.13</t>
        </is>
      </c>
      <c r="F98" s="22" t="inlineStr">
        <is>
          <t>Matriz de propositos obligatorios por pais + bloqueo de activacion sin cobertura</t>
        </is>
      </c>
      <c r="G98" s="23" t="inlineStr">
        <is>
          <t>Pendiente</t>
        </is>
      </c>
      <c r="H98" s="24">
        <f>IFERROR(INDEX(Config!$B$3:$B$8,MATCH($G98,Config!$A$3:$A$8,0)),0)</f>
        <v/>
      </c>
      <c r="I98" s="23">
        <f>IFERROR(INDEX(Config!$C$3:$C$8,MATCH($G98,Config!$A$3:$A$8,0)),0)</f>
        <v/>
      </c>
      <c r="J98" s="22" t="inlineStr">
        <is>
          <t>Depende de 4.6b</t>
        </is>
      </c>
    </row>
    <row r="99">
      <c r="A99" s="20" t="n">
        <v>98</v>
      </c>
      <c r="B99" s="20" t="inlineStr">
        <is>
          <t>Ola 1 - MVP: operar sin Excel</t>
        </is>
      </c>
      <c r="C99" s="20" t="inlineStr">
        <is>
          <t>F9</t>
        </is>
      </c>
      <c r="D99" s="20" t="inlineStr">
        <is>
          <t>Finanzas</t>
        </is>
      </c>
      <c r="E99" s="21" t="inlineStr">
        <is>
          <t>9.14</t>
        </is>
      </c>
      <c r="F99" s="22" t="inlineStr">
        <is>
          <t>QA de fase + auditoria de seguridad especifica de finanzas</t>
        </is>
      </c>
      <c r="G99" s="23" t="inlineStr">
        <is>
          <t>Pendiente</t>
        </is>
      </c>
      <c r="H99" s="24">
        <f>IFERROR(INDEX(Config!$B$3:$B$8,MATCH($G99,Config!$A$3:$A$8,0)),0)</f>
        <v/>
      </c>
      <c r="I99" s="23">
        <f>IFERROR(INDEX(Config!$C$3:$C$8,MATCH($G99,Config!$A$3:$A$8,0)),0)</f>
        <v/>
      </c>
      <c r="J99" s="22" t="inlineStr"/>
    </row>
    <row r="100">
      <c r="A100" s="20" t="n">
        <v>99</v>
      </c>
      <c r="B100" s="20" t="inlineStr">
        <is>
          <t>Ola 1 - MVP: operar sin Excel</t>
        </is>
      </c>
      <c r="C100" s="20" t="inlineStr">
        <is>
          <t>F10</t>
        </is>
      </c>
      <c r="D100" s="20" t="inlineStr">
        <is>
          <t>Medicion y reportes</t>
        </is>
      </c>
      <c r="E100" s="21" t="inlineStr">
        <is>
          <t>10.1</t>
        </is>
      </c>
      <c r="F100" s="22" t="inlineStr">
        <is>
          <t>Snapshots de metricas por publicacion con fuente y timestamp</t>
        </is>
      </c>
      <c r="G100" s="23" t="inlineStr">
        <is>
          <t>Pendiente</t>
        </is>
      </c>
      <c r="H100" s="24">
        <f>IFERROR(INDEX(Config!$B$3:$B$8,MATCH($G100,Config!$A$3:$A$8,0)),0)</f>
        <v/>
      </c>
      <c r="I100" s="23">
        <f>IFERROR(INDEX(Config!$C$3:$C$8,MATCH($G100,Config!$A$3:$A$8,0)),0)</f>
        <v/>
      </c>
      <c r="J100" s="22" t="inlineStr">
        <is>
          <t>El patron ya existe para redes sociales (social_account_snapshots)</t>
        </is>
      </c>
    </row>
    <row r="101">
      <c r="A101" s="20" t="n">
        <v>100</v>
      </c>
      <c r="B101" s="20" t="inlineStr">
        <is>
          <t>Ola 1 - MVP: operar sin Excel</t>
        </is>
      </c>
      <c r="C101" s="20" t="inlineStr">
        <is>
          <t>F10</t>
        </is>
      </c>
      <c r="D101" s="20" t="inlineStr">
        <is>
          <t>Medicion y reportes</t>
        </is>
      </c>
      <c r="E101" s="21" t="inlineStr">
        <is>
          <t>10.2</t>
        </is>
      </c>
      <c r="F101" s="22" t="inlineStr">
        <is>
          <t>Captura asistida (creador declara + sube captura; operador valida)</t>
        </is>
      </c>
      <c r="G101" s="23" t="inlineStr">
        <is>
          <t>Pendiente</t>
        </is>
      </c>
      <c r="H101" s="24">
        <f>IFERROR(INDEX(Config!$B$3:$B$8,MATCH($G101,Config!$A$3:$A$8,0)),0)</f>
        <v/>
      </c>
      <c r="I101" s="23">
        <f>IFERROR(INDEX(Config!$C$3:$C$8,MATCH($G101,Config!$A$3:$A$8,0)),0)</f>
        <v/>
      </c>
      <c r="J101" s="22" t="inlineStr"/>
    </row>
    <row r="102">
      <c r="A102" s="20" t="n">
        <v>101</v>
      </c>
      <c r="B102" s="20" t="inlineStr">
        <is>
          <t>Ola 1 - MVP: operar sin Excel</t>
        </is>
      </c>
      <c r="C102" s="20" t="inlineStr">
        <is>
          <t>F10</t>
        </is>
      </c>
      <c r="D102" s="20" t="inlineStr">
        <is>
          <t>Medicion y reportes</t>
        </is>
      </c>
      <c r="E102" s="21" t="inlineStr">
        <is>
          <t>10.3</t>
        </is>
      </c>
      <c r="F102" s="22" t="inlineStr">
        <is>
          <t>Consolidacion por creador / plataforma / campana</t>
        </is>
      </c>
      <c r="G102" s="23" t="inlineStr">
        <is>
          <t>Pendiente</t>
        </is>
      </c>
      <c r="H102" s="24">
        <f>IFERROR(INDEX(Config!$B$3:$B$8,MATCH($G102,Config!$A$3:$A$8,0)),0)</f>
        <v/>
      </c>
      <c r="I102" s="23">
        <f>IFERROR(INDEX(Config!$C$3:$C$8,MATCH($G102,Config!$A$3:$A$8,0)),0)</f>
        <v/>
      </c>
      <c r="J102" s="22" t="inlineStr"/>
    </row>
    <row r="103">
      <c r="A103" s="20" t="n">
        <v>102</v>
      </c>
      <c r="B103" s="20" t="inlineStr">
        <is>
          <t>Ola 1 - MVP: operar sin Excel</t>
        </is>
      </c>
      <c r="C103" s="20" t="inlineStr">
        <is>
          <t>F10</t>
        </is>
      </c>
      <c r="D103" s="20" t="inlineStr">
        <is>
          <t>Medicion y reportes</t>
        </is>
      </c>
      <c r="E103" s="21" t="inlineStr">
        <is>
          <t>10.4</t>
        </is>
      </c>
      <c r="F103" s="22" t="inlineStr">
        <is>
          <t>Reporte de campana reproducible (fecha de corte fija)</t>
        </is>
      </c>
      <c r="G103" s="23" t="inlineStr">
        <is>
          <t>Pendiente</t>
        </is>
      </c>
      <c r="H103" s="24">
        <f>IFERROR(INDEX(Config!$B$3:$B$8,MATCH($G103,Config!$A$3:$A$8,0)),0)</f>
        <v/>
      </c>
      <c r="I103" s="23">
        <f>IFERROR(INDEX(Config!$C$3:$C$8,MATCH($G103,Config!$A$3:$A$8,0)),0)</f>
        <v/>
      </c>
      <c r="J103" s="22" t="inlineStr"/>
    </row>
    <row r="104">
      <c r="A104" s="20" t="n">
        <v>103</v>
      </c>
      <c r="B104" s="20" t="inlineStr">
        <is>
          <t>Ola 1 - MVP: operar sin Excel</t>
        </is>
      </c>
      <c r="C104" s="20" t="inlineStr">
        <is>
          <t>F10</t>
        </is>
      </c>
      <c r="D104" s="20" t="inlineStr">
        <is>
          <t>Medicion y reportes</t>
        </is>
      </c>
      <c r="E104" s="21" t="inlineStr">
        <is>
          <t>10.5</t>
        </is>
      </c>
      <c r="F104" s="22" t="inlineStr">
        <is>
          <t>Entrega del reporte al cliente por enlace firmado + exportacion PDF</t>
        </is>
      </c>
      <c r="G104" s="23" t="inlineStr">
        <is>
          <t>Pendiente</t>
        </is>
      </c>
      <c r="H104" s="24">
        <f>IFERROR(INDEX(Config!$B$3:$B$8,MATCH($G104,Config!$A$3:$A$8,0)),0)</f>
        <v/>
      </c>
      <c r="I104" s="23">
        <f>IFERROR(INDEX(Config!$C$3:$C$8,MATCH($G104,Config!$A$3:$A$8,0)),0)</f>
        <v/>
      </c>
      <c r="J104" s="22" t="inlineStr"/>
    </row>
    <row r="105">
      <c r="A105" s="20" t="n">
        <v>104</v>
      </c>
      <c r="B105" s="20" t="inlineStr">
        <is>
          <t>Ola 1 - MVP: operar sin Excel</t>
        </is>
      </c>
      <c r="C105" s="20" t="inlineStr">
        <is>
          <t>F10</t>
        </is>
      </c>
      <c r="D105" s="20" t="inlineStr">
        <is>
          <t>Medicion y reportes</t>
        </is>
      </c>
      <c r="E105" s="21" t="inlineStr">
        <is>
          <t>10.6</t>
        </is>
      </c>
      <c r="F105" s="22" t="inlineStr">
        <is>
          <t>Dashboards por rol (Superadmin, Ops, Campaign Mgr, Finance, Creator)</t>
        </is>
      </c>
      <c r="G105" s="23" t="inlineStr">
        <is>
          <t>Pendiente</t>
        </is>
      </c>
      <c r="H105" s="24">
        <f>IFERROR(INDEX(Config!$B$3:$B$8,MATCH($G105,Config!$A$3:$A$8,0)),0)</f>
        <v/>
      </c>
      <c r="I105" s="23">
        <f>IFERROR(INDEX(Config!$C$3:$C$8,MATCH($G105,Config!$A$3:$A$8,0)),0)</f>
        <v/>
      </c>
      <c r="J105" s="22" t="inlineStr"/>
    </row>
    <row r="106">
      <c r="A106" s="20" t="n">
        <v>105</v>
      </c>
      <c r="B106" s="20" t="inlineStr">
        <is>
          <t>Ola 1 - MVP: operar sin Excel</t>
        </is>
      </c>
      <c r="C106" s="20" t="inlineStr">
        <is>
          <t>F10</t>
        </is>
      </c>
      <c r="D106" s="20" t="inlineStr">
        <is>
          <t>Medicion y reportes</t>
        </is>
      </c>
      <c r="E106" s="21" t="inlineStr">
        <is>
          <t>10.7</t>
        </is>
      </c>
      <c r="F106" s="22" t="inlineStr">
        <is>
          <t>Exportaciones CSV/XLSX como job en cola</t>
        </is>
      </c>
      <c r="G106" s="23" t="inlineStr">
        <is>
          <t>Pendiente</t>
        </is>
      </c>
      <c r="H106" s="24">
        <f>IFERROR(INDEX(Config!$B$3:$B$8,MATCH($G106,Config!$A$3:$A$8,0)),0)</f>
        <v/>
      </c>
      <c r="I106" s="23">
        <f>IFERROR(INDEX(Config!$C$3:$C$8,MATCH($G106,Config!$A$3:$A$8,0)),0)</f>
        <v/>
      </c>
      <c r="J106" s="22" t="inlineStr">
        <is>
          <t>Depende de 4.8</t>
        </is>
      </c>
    </row>
    <row r="107">
      <c r="A107" s="20" t="n">
        <v>106</v>
      </c>
      <c r="B107" s="20" t="inlineStr">
        <is>
          <t>Ola 1 - MVP: operar sin Excel</t>
        </is>
      </c>
      <c r="C107" s="20" t="inlineStr">
        <is>
          <t>F10</t>
        </is>
      </c>
      <c r="D107" s="20" t="inlineStr">
        <is>
          <t>Medicion y reportes</t>
        </is>
      </c>
      <c r="E107" s="21" t="inlineStr">
        <is>
          <t>10.8</t>
        </is>
      </c>
      <c r="F107" s="22" t="inlineStr">
        <is>
          <t>Indicador de carga y capacidad del equipo</t>
        </is>
      </c>
      <c r="G107" s="23" t="inlineStr">
        <is>
          <t>Pendiente</t>
        </is>
      </c>
      <c r="H107" s="24">
        <f>IFERROR(INDEX(Config!$B$3:$B$8,MATCH($G107,Config!$A$3:$A$8,0)),0)</f>
        <v/>
      </c>
      <c r="I107" s="23">
        <f>IFERROR(INDEX(Config!$C$3:$C$8,MATCH($G107,Config!$A$3:$A$8,0)),0)</f>
        <v/>
      </c>
      <c r="J107" s="22" t="inlineStr"/>
    </row>
    <row r="108">
      <c r="A108" s="20" t="n">
        <v>107</v>
      </c>
      <c r="B108" s="20" t="inlineStr">
        <is>
          <t>Ola 1 - MVP: operar sin Excel</t>
        </is>
      </c>
      <c r="C108" s="20" t="inlineStr">
        <is>
          <t>F10</t>
        </is>
      </c>
      <c r="D108" s="20" t="inlineStr">
        <is>
          <t>Medicion y reportes</t>
        </is>
      </c>
      <c r="E108" s="21" t="inlineStr">
        <is>
          <t>10.9</t>
        </is>
      </c>
      <c r="F108" s="22" t="inlineStr">
        <is>
          <t>QA de fase + Phase Review Report. HITO: fin del MVP</t>
        </is>
      </c>
      <c r="G108" s="23" t="inlineStr">
        <is>
          <t>Pendiente</t>
        </is>
      </c>
      <c r="H108" s="24">
        <f>IFERROR(INDEX(Config!$B$3:$B$8,MATCH($G108,Config!$A$3:$A$8,0)),0)</f>
        <v/>
      </c>
      <c r="I108" s="23">
        <f>IFERROR(INDEX(Config!$C$3:$C$8,MATCH($G108,Config!$A$3:$A$8,0)),0)</f>
        <v/>
      </c>
      <c r="J108" s="22" t="inlineStr"/>
    </row>
    <row r="109">
      <c r="A109" s="20" t="n">
        <v>108</v>
      </c>
      <c r="B109" s="20" t="inlineStr">
        <is>
          <t>Ola 2 - Escalar comercialmente</t>
        </is>
      </c>
      <c r="C109" s="20" t="inlineStr">
        <is>
          <t>F11</t>
        </is>
      </c>
      <c r="D109" s="20" t="inlineStr">
        <is>
          <t>Adquisicion de marcas y CRM</t>
        </is>
      </c>
      <c r="E109" s="21" t="inlineStr">
        <is>
          <t>11.1</t>
        </is>
      </c>
      <c r="F109" s="22" t="inlineStr">
        <is>
          <t>Landing B2B</t>
        </is>
      </c>
      <c r="G109" s="23" t="inlineStr">
        <is>
          <t>Pendiente</t>
        </is>
      </c>
      <c r="H109" s="24">
        <f>IFERROR(INDEX(Config!$B$3:$B$8,MATCH($G109,Config!$A$3:$A$8,0)),0)</f>
        <v/>
      </c>
      <c r="I109" s="23">
        <f>IFERROR(INDEX(Config!$C$3:$C$8,MATCH($G109,Config!$A$3:$A$8,0)),0)</f>
        <v/>
      </c>
      <c r="J109" s="22" t="inlineStr"/>
    </row>
    <row r="110">
      <c r="A110" s="20" t="n">
        <v>109</v>
      </c>
      <c r="B110" s="20" t="inlineStr">
        <is>
          <t>Ola 2 - Escalar comercialmente</t>
        </is>
      </c>
      <c r="C110" s="20" t="inlineStr">
        <is>
          <t>F11</t>
        </is>
      </c>
      <c r="D110" s="20" t="inlineStr">
        <is>
          <t>Adquisicion de marcas y CRM</t>
        </is>
      </c>
      <c r="E110" s="21" t="inlineStr">
        <is>
          <t>11.2</t>
        </is>
      </c>
      <c r="F110" s="22" t="inlineStr">
        <is>
          <t>Formulario de lead + UTM + consentimiento</t>
        </is>
      </c>
      <c r="G110" s="23" t="inlineStr">
        <is>
          <t>Pendiente</t>
        </is>
      </c>
      <c r="H110" s="24">
        <f>IFERROR(INDEX(Config!$B$3:$B$8,MATCH($G110,Config!$A$3:$A$8,0)),0)</f>
        <v/>
      </c>
      <c r="I110" s="23">
        <f>IFERROR(INDEX(Config!$C$3:$C$8,MATCH($G110,Config!$A$3:$A$8,0)),0)</f>
        <v/>
      </c>
      <c r="J110" s="22" t="inlineStr"/>
    </row>
    <row r="111">
      <c r="A111" s="20" t="n">
        <v>110</v>
      </c>
      <c r="B111" s="20" t="inlineStr">
        <is>
          <t>Ola 2 - Escalar comercialmente</t>
        </is>
      </c>
      <c r="C111" s="20" t="inlineStr">
        <is>
          <t>F11</t>
        </is>
      </c>
      <c r="D111" s="20" t="inlineStr">
        <is>
          <t>Adquisicion de marcas y CRM</t>
        </is>
      </c>
      <c r="E111" s="21" t="inlineStr">
        <is>
          <t>11.3</t>
        </is>
      </c>
      <c r="F111" s="22" t="inlineStr">
        <is>
          <t>Lead, asignacion y SLA</t>
        </is>
      </c>
      <c r="G111" s="23" t="inlineStr">
        <is>
          <t>Pendiente</t>
        </is>
      </c>
      <c r="H111" s="24">
        <f>IFERROR(INDEX(Config!$B$3:$B$8,MATCH($G111,Config!$A$3:$A$8,0)),0)</f>
        <v/>
      </c>
      <c r="I111" s="23">
        <f>IFERROR(INDEX(Config!$C$3:$C$8,MATCH($G111,Config!$A$3:$A$8,0)),0)</f>
        <v/>
      </c>
      <c r="J111" s="22" t="inlineStr"/>
    </row>
    <row r="112">
      <c r="A112" s="20" t="n">
        <v>111</v>
      </c>
      <c r="B112" s="20" t="inlineStr">
        <is>
          <t>Ola 2 - Escalar comercialmente</t>
        </is>
      </c>
      <c r="C112" s="20" t="inlineStr">
        <is>
          <t>F11</t>
        </is>
      </c>
      <c r="D112" s="20" t="inlineStr">
        <is>
          <t>Adquisicion de marcas y CRM</t>
        </is>
      </c>
      <c r="E112" s="21" t="inlineStr">
        <is>
          <t>11.4</t>
        </is>
      </c>
      <c r="F112" s="22" t="inlineStr">
        <is>
          <t>Pipeline Kanban configurable</t>
        </is>
      </c>
      <c r="G112" s="23" t="inlineStr">
        <is>
          <t>Pendiente</t>
        </is>
      </c>
      <c r="H112" s="24">
        <f>IFERROR(INDEX(Config!$B$3:$B$8,MATCH($G112,Config!$A$3:$A$8,0)),0)</f>
        <v/>
      </c>
      <c r="I112" s="23">
        <f>IFERROR(INDEX(Config!$C$3:$C$8,MATCH($G112,Config!$A$3:$A$8,0)),0)</f>
        <v/>
      </c>
      <c r="J112" s="22" t="inlineStr"/>
    </row>
    <row r="113">
      <c r="A113" s="20" t="n">
        <v>112</v>
      </c>
      <c r="B113" s="20" t="inlineStr">
        <is>
          <t>Ola 2 - Escalar comercialmente</t>
        </is>
      </c>
      <c r="C113" s="20" t="inlineStr">
        <is>
          <t>F11</t>
        </is>
      </c>
      <c r="D113" s="20" t="inlineStr">
        <is>
          <t>Adquisicion de marcas y CRM</t>
        </is>
      </c>
      <c r="E113" s="21" t="inlineStr">
        <is>
          <t>11.5</t>
        </is>
      </c>
      <c r="F113" s="22" t="inlineStr">
        <is>
          <t>Actividades, notas, tareas y recordatorios</t>
        </is>
      </c>
      <c r="G113" s="23" t="inlineStr">
        <is>
          <t>Pendiente</t>
        </is>
      </c>
      <c r="H113" s="24">
        <f>IFERROR(INDEX(Config!$B$3:$B$8,MATCH($G113,Config!$A$3:$A$8,0)),0)</f>
        <v/>
      </c>
      <c r="I113" s="23">
        <f>IFERROR(INDEX(Config!$C$3:$C$8,MATCH($G113,Config!$A$3:$A$8,0)),0)</f>
        <v/>
      </c>
      <c r="J113" s="22" t="inlineStr"/>
    </row>
    <row r="114">
      <c r="A114" s="20" t="n">
        <v>113</v>
      </c>
      <c r="B114" s="20" t="inlineStr">
        <is>
          <t>Ola 2 - Escalar comercialmente</t>
        </is>
      </c>
      <c r="C114" s="20" t="inlineStr">
        <is>
          <t>F11</t>
        </is>
      </c>
      <c r="D114" s="20" t="inlineStr">
        <is>
          <t>Adquisicion de marcas y CRM</t>
        </is>
      </c>
      <c r="E114" s="21" t="inlineStr">
        <is>
          <t>11.6</t>
        </is>
      </c>
      <c r="F114" s="22" t="inlineStr">
        <is>
          <t>Conversion Lead -&gt; Cliente con trazabilidad</t>
        </is>
      </c>
      <c r="G114" s="23" t="inlineStr">
        <is>
          <t>Pendiente</t>
        </is>
      </c>
      <c r="H114" s="24">
        <f>IFERROR(INDEX(Config!$B$3:$B$8,MATCH($G114,Config!$A$3:$A$8,0)),0)</f>
        <v/>
      </c>
      <c r="I114" s="23">
        <f>IFERROR(INDEX(Config!$C$3:$C$8,MATCH($G114,Config!$A$3:$A$8,0)),0)</f>
        <v/>
      </c>
      <c r="J114" s="22" t="inlineStr"/>
    </row>
    <row r="115">
      <c r="A115" s="20" t="n">
        <v>114</v>
      </c>
      <c r="B115" s="20" t="inlineStr">
        <is>
          <t>Ola 2 - Escalar comercialmente</t>
        </is>
      </c>
      <c r="C115" s="20" t="inlineStr">
        <is>
          <t>F11</t>
        </is>
      </c>
      <c r="D115" s="20" t="inlineStr">
        <is>
          <t>Adquisicion de marcas y CRM</t>
        </is>
      </c>
      <c r="E115" s="21" t="inlineStr">
        <is>
          <t>11.7</t>
        </is>
      </c>
      <c r="F115" s="22" t="inlineStr">
        <is>
          <t>Organizaciones cliente, marcas y contactos</t>
        </is>
      </c>
      <c r="G115" s="23" t="inlineStr">
        <is>
          <t>Terminado</t>
        </is>
      </c>
      <c r="H115" s="24">
        <f>IFERROR(INDEX(Config!$B$3:$B$8,MATCH($G115,Config!$A$3:$A$8,0)),0)</f>
        <v/>
      </c>
      <c r="I115" s="23">
        <f>IFERROR(INDEX(Config!$C$3:$C$8,MATCH($G115,Config!$A$3:$A$8,0)),0)</f>
        <v/>
      </c>
      <c r="J115" s="22" t="inlineStr">
        <is>
          <t>Ya construido en 7.0 / docs/fase-4</t>
        </is>
      </c>
    </row>
    <row r="116">
      <c r="A116" s="20" t="n">
        <v>115</v>
      </c>
      <c r="B116" s="20" t="inlineStr">
        <is>
          <t>Ola 2 - Escalar comercialmente</t>
        </is>
      </c>
      <c r="C116" s="20" t="inlineStr">
        <is>
          <t>F11</t>
        </is>
      </c>
      <c r="D116" s="20" t="inlineStr">
        <is>
          <t>Adquisicion de marcas y CRM</t>
        </is>
      </c>
      <c r="E116" s="21" t="inlineStr">
        <is>
          <t>11.8</t>
        </is>
      </c>
      <c r="F116" s="22" t="inlineStr">
        <is>
          <t>Tags y segmentacion</t>
        </is>
      </c>
      <c r="G116" s="23" t="inlineStr">
        <is>
          <t>Pendiente</t>
        </is>
      </c>
      <c r="H116" s="24">
        <f>IFERROR(INDEX(Config!$B$3:$B$8,MATCH($G116,Config!$A$3:$A$8,0)),0)</f>
        <v/>
      </c>
      <c r="I116" s="23">
        <f>IFERROR(INDEX(Config!$C$3:$C$8,MATCH($G116,Config!$A$3:$A$8,0)),0)</f>
        <v/>
      </c>
      <c r="J116" s="22" t="inlineStr"/>
    </row>
    <row r="117">
      <c r="A117" s="20" t="n">
        <v>116</v>
      </c>
      <c r="B117" s="20" t="inlineStr">
        <is>
          <t>Ola 2 - Escalar comercialmente</t>
        </is>
      </c>
      <c r="C117" s="20" t="inlineStr">
        <is>
          <t>F11</t>
        </is>
      </c>
      <c r="D117" s="20" t="inlineStr">
        <is>
          <t>Adquisicion de marcas y CRM</t>
        </is>
      </c>
      <c r="E117" s="21" t="inlineStr">
        <is>
          <t>11.9</t>
        </is>
      </c>
      <c r="F117" s="22" t="inlineStr">
        <is>
          <t>QA de fase</t>
        </is>
      </c>
      <c r="G117" s="23" t="inlineStr">
        <is>
          <t>Pendiente</t>
        </is>
      </c>
      <c r="H117" s="24">
        <f>IFERROR(INDEX(Config!$B$3:$B$8,MATCH($G117,Config!$A$3:$A$8,0)),0)</f>
        <v/>
      </c>
      <c r="I117" s="23">
        <f>IFERROR(INDEX(Config!$C$3:$C$8,MATCH($G117,Config!$A$3:$A$8,0)),0)</f>
        <v/>
      </c>
      <c r="J117" s="22" t="inlineStr"/>
    </row>
    <row r="118">
      <c r="A118" s="20" t="n">
        <v>117</v>
      </c>
      <c r="B118" s="20" t="inlineStr">
        <is>
          <t>Ola 2 - Escalar comercialmente</t>
        </is>
      </c>
      <c r="C118" s="20" t="inlineStr">
        <is>
          <t>F12</t>
        </is>
      </c>
      <c r="D118" s="20" t="inlineStr">
        <is>
          <t>Integraciones</t>
        </is>
      </c>
      <c r="E118" s="21" t="inlineStr">
        <is>
          <t>12.1</t>
        </is>
      </c>
      <c r="F118" s="22" t="inlineStr">
        <is>
          <t>SMTP dedicado y entregabilidad (SPF/DKIM/DMARC), remitente por entidad legal</t>
        </is>
      </c>
      <c r="G118" s="23" t="inlineStr">
        <is>
          <t>Pendiente</t>
        </is>
      </c>
      <c r="H118" s="24">
        <f>IFERROR(INDEX(Config!$B$3:$B$8,MATCH($G118,Config!$A$3:$A$8,0)),0)</f>
        <v/>
      </c>
      <c r="I118" s="23">
        <f>IFERROR(INDEX(Config!$C$3:$C$8,MATCH($G118,Config!$A$3:$A$8,0)),0)</f>
        <v/>
      </c>
      <c r="J118" s="22" t="inlineStr">
        <is>
          <t>Depende de 4.6b y 4.9</t>
        </is>
      </c>
    </row>
    <row r="119">
      <c r="A119" s="20" t="n">
        <v>118</v>
      </c>
      <c r="B119" s="20" t="inlineStr">
        <is>
          <t>Ola 2 - Escalar comercialmente</t>
        </is>
      </c>
      <c r="C119" s="20" t="inlineStr">
        <is>
          <t>F12</t>
        </is>
      </c>
      <c r="D119" s="20" t="inlineStr">
        <is>
          <t>Integraciones</t>
        </is>
      </c>
      <c r="E119" s="21" t="inlineStr">
        <is>
          <t>12.2</t>
        </is>
      </c>
      <c r="F119" s="22" t="inlineStr">
        <is>
          <t>Adaptador de facturacion electronica + primer PSE peruano</t>
        </is>
      </c>
      <c r="G119" s="23" t="inlineStr">
        <is>
          <t>Pendiente</t>
        </is>
      </c>
      <c r="H119" s="24">
        <f>IFERROR(INDEX(Config!$B$3:$B$8,MATCH($G119,Config!$A$3:$A$8,0)),0)</f>
        <v/>
      </c>
      <c r="I119" s="23">
        <f>IFERROR(INDEX(Config!$C$3:$C$8,MATCH($G119,Config!$A$3:$A$8,0)),0)</f>
        <v/>
      </c>
      <c r="J119" s="22" t="inlineStr">
        <is>
          <t>Depende de 4.6b y de Q-34</t>
        </is>
      </c>
    </row>
    <row r="120">
      <c r="A120" s="20" t="n">
        <v>119</v>
      </c>
      <c r="B120" s="20" t="inlineStr">
        <is>
          <t>Ola 2 - Escalar comercialmente</t>
        </is>
      </c>
      <c r="C120" s="20" t="inlineStr">
        <is>
          <t>F12</t>
        </is>
      </c>
      <c r="D120" s="20" t="inlineStr">
        <is>
          <t>Integraciones</t>
        </is>
      </c>
      <c r="E120" s="21" t="inlineStr">
        <is>
          <t>12.3</t>
        </is>
      </c>
      <c r="F120" s="22" t="inlineStr">
        <is>
          <t>Notas de credito/debito</t>
        </is>
      </c>
      <c r="G120" s="23" t="inlineStr">
        <is>
          <t>Pendiente</t>
        </is>
      </c>
      <c r="H120" s="24">
        <f>IFERROR(INDEX(Config!$B$3:$B$8,MATCH($G120,Config!$A$3:$A$8,0)),0)</f>
        <v/>
      </c>
      <c r="I120" s="23">
        <f>IFERROR(INDEX(Config!$C$3:$C$8,MATCH($G120,Config!$A$3:$A$8,0)),0)</f>
        <v/>
      </c>
      <c r="J120" s="22" t="inlineStr"/>
    </row>
    <row r="121">
      <c r="A121" s="20" t="n">
        <v>120</v>
      </c>
      <c r="B121" s="20" t="inlineStr">
        <is>
          <t>Ola 2 - Escalar comercialmente</t>
        </is>
      </c>
      <c r="C121" s="20" t="inlineStr">
        <is>
          <t>F12</t>
        </is>
      </c>
      <c r="D121" s="20" t="inlineStr">
        <is>
          <t>Integraciones</t>
        </is>
      </c>
      <c r="E121" s="21" t="inlineStr">
        <is>
          <t>12.4</t>
        </is>
      </c>
      <c r="F121" s="22" t="inlineStr">
        <is>
          <t>Adaptador de tipo de cambio SUNAT con override auditado</t>
        </is>
      </c>
      <c r="G121" s="23" t="inlineStr">
        <is>
          <t>Pendiente</t>
        </is>
      </c>
      <c r="H121" s="24">
        <f>IFERROR(INDEX(Config!$B$3:$B$8,MATCH($G121,Config!$A$3:$A$8,0)),0)</f>
        <v/>
      </c>
      <c r="I121" s="23">
        <f>IFERROR(INDEX(Config!$C$3:$C$8,MATCH($G121,Config!$A$3:$A$8,0)),0)</f>
        <v/>
      </c>
      <c r="J121" s="22" t="inlineStr"/>
    </row>
    <row r="122">
      <c r="A122" s="20" t="n">
        <v>121</v>
      </c>
      <c r="B122" s="20" t="inlineStr">
        <is>
          <t>Ola 2 - Escalar comercialmente</t>
        </is>
      </c>
      <c r="C122" s="20" t="inlineStr">
        <is>
          <t>F12</t>
        </is>
      </c>
      <c r="D122" s="20" t="inlineStr">
        <is>
          <t>Integraciones</t>
        </is>
      </c>
      <c r="E122" s="21" t="inlineStr">
        <is>
          <t>12.5</t>
        </is>
      </c>
      <c r="F122" s="22" t="inlineStr">
        <is>
          <t>Infraestructura de webhooks: firma, idempotencia, reintentos, reproceso</t>
        </is>
      </c>
      <c r="G122" s="23" t="inlineStr">
        <is>
          <t>Pendiente</t>
        </is>
      </c>
      <c r="H122" s="24">
        <f>IFERROR(INDEX(Config!$B$3:$B$8,MATCH($G122,Config!$A$3:$A$8,0)),0)</f>
        <v/>
      </c>
      <c r="I122" s="23">
        <f>IFERROR(INDEX(Config!$C$3:$C$8,MATCH($G122,Config!$A$3:$A$8,0)),0)</f>
        <v/>
      </c>
      <c r="J122" s="22" t="inlineStr">
        <is>
          <t>DEC-031</t>
        </is>
      </c>
    </row>
    <row r="123">
      <c r="A123" s="20" t="n">
        <v>122</v>
      </c>
      <c r="B123" s="20" t="inlineStr">
        <is>
          <t>Ola 2 - Escalar comercialmente</t>
        </is>
      </c>
      <c r="C123" s="20" t="inlineStr">
        <is>
          <t>F12</t>
        </is>
      </c>
      <c r="D123" s="20" t="inlineStr">
        <is>
          <t>Integraciones</t>
        </is>
      </c>
      <c r="E123" s="21" t="inlineStr">
        <is>
          <t>12.6</t>
        </is>
      </c>
      <c r="F123" s="22" t="inlineStr">
        <is>
          <t>Pasarela de pago (solo si DEC-007 lo justifica)</t>
        </is>
      </c>
      <c r="G123" s="23" t="inlineStr">
        <is>
          <t>Pendiente</t>
        </is>
      </c>
      <c r="H123" s="24">
        <f>IFERROR(INDEX(Config!$B$3:$B$8,MATCH($G123,Config!$A$3:$A$8,0)),0)</f>
        <v/>
      </c>
      <c r="I123" s="23">
        <f>IFERROR(INDEX(Config!$C$3:$C$8,MATCH($G123,Config!$A$3:$A$8,0)),0)</f>
        <v/>
      </c>
      <c r="J123" s="22" t="inlineStr">
        <is>
          <t>Puede no hacer falta</t>
        </is>
      </c>
    </row>
    <row r="124">
      <c r="A124" s="20" t="n">
        <v>123</v>
      </c>
      <c r="B124" s="20" t="inlineStr">
        <is>
          <t>Ola 2 - Escalar comercialmente</t>
        </is>
      </c>
      <c r="C124" s="20" t="inlineStr">
        <is>
          <t>F12</t>
        </is>
      </c>
      <c r="D124" s="20" t="inlineStr">
        <is>
          <t>Integraciones</t>
        </is>
      </c>
      <c r="E124" s="21" t="inlineStr">
        <is>
          <t>12.7</t>
        </is>
      </c>
      <c r="F124" s="22" t="inlineStr">
        <is>
          <t>WhatsApp Business API para notificaciones</t>
        </is>
      </c>
      <c r="G124" s="23" t="inlineStr">
        <is>
          <t>Pendiente</t>
        </is>
      </c>
      <c r="H124" s="24">
        <f>IFERROR(INDEX(Config!$B$3:$B$8,MATCH($G124,Config!$A$3:$A$8,0)),0)</f>
        <v/>
      </c>
      <c r="I124" s="23">
        <f>IFERROR(INDEX(Config!$C$3:$C$8,MATCH($G124,Config!$A$3:$A$8,0)),0)</f>
        <v/>
      </c>
      <c r="J124" s="22" t="inlineStr"/>
    </row>
    <row r="125">
      <c r="A125" s="20" t="n">
        <v>124</v>
      </c>
      <c r="B125" s="20" t="inlineStr">
        <is>
          <t>Ola 2 - Escalar comercialmente</t>
        </is>
      </c>
      <c r="C125" s="20" t="inlineStr">
        <is>
          <t>F12</t>
        </is>
      </c>
      <c r="D125" s="20" t="inlineStr">
        <is>
          <t>Integraciones</t>
        </is>
      </c>
      <c r="E125" s="21" t="inlineStr">
        <is>
          <t>12.8</t>
        </is>
      </c>
      <c r="F125" s="22" t="inlineStr">
        <is>
          <t>Panel de salud de integraciones y simulador de resolucion</t>
        </is>
      </c>
      <c r="G125" s="23" t="inlineStr">
        <is>
          <t>Pendiente</t>
        </is>
      </c>
      <c r="H125" s="24">
        <f>IFERROR(INDEX(Config!$B$3:$B$8,MATCH($G125,Config!$A$3:$A$8,0)),0)</f>
        <v/>
      </c>
      <c r="I125" s="23">
        <f>IFERROR(INDEX(Config!$C$3:$C$8,MATCH($G125,Config!$A$3:$A$8,0)),0)</f>
        <v/>
      </c>
      <c r="J125" s="22" t="inlineStr"/>
    </row>
    <row r="126">
      <c r="A126" s="20" t="n">
        <v>125</v>
      </c>
      <c r="B126" s="20" t="inlineStr">
        <is>
          <t>Ola 2 - Escalar comercialmente</t>
        </is>
      </c>
      <c r="C126" s="20" t="inlineStr">
        <is>
          <t>F12</t>
        </is>
      </c>
      <c r="D126" s="20" t="inlineStr">
        <is>
          <t>Integraciones</t>
        </is>
      </c>
      <c r="E126" s="21" t="inlineStr">
        <is>
          <t>12.9</t>
        </is>
      </c>
      <c r="F126" s="22" t="inlineStr">
        <is>
          <t>QA de fase</t>
        </is>
      </c>
      <c r="G126" s="23" t="inlineStr">
        <is>
          <t>Pendiente</t>
        </is>
      </c>
      <c r="H126" s="24">
        <f>IFERROR(INDEX(Config!$B$3:$B$8,MATCH($G126,Config!$A$3:$A$8,0)),0)</f>
        <v/>
      </c>
      <c r="I126" s="23">
        <f>IFERROR(INDEX(Config!$C$3:$C$8,MATCH($G126,Config!$A$3:$A$8,0)),0)</f>
        <v/>
      </c>
      <c r="J126" s="22" t="inlineStr"/>
    </row>
    <row r="127">
      <c r="A127" s="20" t="n">
        <v>126</v>
      </c>
      <c r="B127" s="20" t="inlineStr">
        <is>
          <t>Ola 2 - Escalar comercialmente</t>
        </is>
      </c>
      <c r="C127" s="20" t="inlineStr">
        <is>
          <t>F13</t>
        </is>
      </c>
      <c r="D127" s="20" t="inlineStr">
        <is>
          <t>Portal de la marca</t>
        </is>
      </c>
      <c r="E127" s="21" t="inlineStr">
        <is>
          <t>13.1</t>
        </is>
      </c>
      <c r="F127" s="22" t="inlineStr">
        <is>
          <t>Invitacion y usuarios de cliente</t>
        </is>
      </c>
      <c r="G127" s="23" t="inlineStr">
        <is>
          <t>Pendiente</t>
        </is>
      </c>
      <c r="H127" s="24">
        <f>IFERROR(INDEX(Config!$B$3:$B$8,MATCH($G127,Config!$A$3:$A$8,0)),0)</f>
        <v/>
      </c>
      <c r="I127" s="23">
        <f>IFERROR(INDEX(Config!$C$3:$C$8,MATCH($G127,Config!$A$3:$A$8,0)),0)</f>
        <v/>
      </c>
      <c r="J127" s="22" t="inlineStr"/>
    </row>
    <row r="128">
      <c r="A128" s="20" t="n">
        <v>127</v>
      </c>
      <c r="B128" s="20" t="inlineStr">
        <is>
          <t>Ola 2 - Escalar comercialmente</t>
        </is>
      </c>
      <c r="C128" s="20" t="inlineStr">
        <is>
          <t>F13</t>
        </is>
      </c>
      <c r="D128" s="20" t="inlineStr">
        <is>
          <t>Portal de la marca</t>
        </is>
      </c>
      <c r="E128" s="21" t="inlineStr">
        <is>
          <t>13.2</t>
        </is>
      </c>
      <c r="F128" s="22" t="inlineStr">
        <is>
          <t>Dashboard de campana</t>
        </is>
      </c>
      <c r="G128" s="23" t="inlineStr">
        <is>
          <t>Pendiente</t>
        </is>
      </c>
      <c r="H128" s="24">
        <f>IFERROR(INDEX(Config!$B$3:$B$8,MATCH($G128,Config!$A$3:$A$8,0)),0)</f>
        <v/>
      </c>
      <c r="I128" s="23">
        <f>IFERROR(INDEX(Config!$C$3:$C$8,MATCH($G128,Config!$A$3:$A$8,0)),0)</f>
        <v/>
      </c>
      <c r="J128" s="22" t="inlineStr"/>
    </row>
    <row r="129">
      <c r="A129" s="20" t="n">
        <v>128</v>
      </c>
      <c r="B129" s="20" t="inlineStr">
        <is>
          <t>Ola 2 - Escalar comercialmente</t>
        </is>
      </c>
      <c r="C129" s="20" t="inlineStr">
        <is>
          <t>F13</t>
        </is>
      </c>
      <c r="D129" s="20" t="inlineStr">
        <is>
          <t>Portal de la marca</t>
        </is>
      </c>
      <c r="E129" s="21" t="inlineStr">
        <is>
          <t>13.3</t>
        </is>
      </c>
      <c r="F129" s="22" t="inlineStr">
        <is>
          <t>Aprobacion de brief y contenido dentro del portal</t>
        </is>
      </c>
      <c r="G129" s="23" t="inlineStr">
        <is>
          <t>Pendiente</t>
        </is>
      </c>
      <c r="H129" s="24">
        <f>IFERROR(INDEX(Config!$B$3:$B$8,MATCH($G129,Config!$A$3:$A$8,0)),0)</f>
        <v/>
      </c>
      <c r="I129" s="23">
        <f>IFERROR(INDEX(Config!$C$3:$C$8,MATCH($G129,Config!$A$3:$A$8,0)),0)</f>
        <v/>
      </c>
      <c r="J129" s="22" t="inlineStr"/>
    </row>
    <row r="130">
      <c r="A130" s="20" t="n">
        <v>129</v>
      </c>
      <c r="B130" s="20" t="inlineStr">
        <is>
          <t>Ola 2 - Escalar comercialmente</t>
        </is>
      </c>
      <c r="C130" s="20" t="inlineStr">
        <is>
          <t>F13</t>
        </is>
      </c>
      <c r="D130" s="20" t="inlineStr">
        <is>
          <t>Portal de la marca</t>
        </is>
      </c>
      <c r="E130" s="21" t="inlineStr">
        <is>
          <t>13.4</t>
        </is>
      </c>
      <c r="F130" s="22" t="inlineStr">
        <is>
          <t>Biblioteca de contenido aprobado con derechos y vigencia</t>
        </is>
      </c>
      <c r="G130" s="23" t="inlineStr">
        <is>
          <t>Pendiente</t>
        </is>
      </c>
      <c r="H130" s="24">
        <f>IFERROR(INDEX(Config!$B$3:$B$8,MATCH($G130,Config!$A$3:$A$8,0)),0)</f>
        <v/>
      </c>
      <c r="I130" s="23">
        <f>IFERROR(INDEX(Config!$C$3:$C$8,MATCH($G130,Config!$A$3:$A$8,0)),0)</f>
        <v/>
      </c>
      <c r="J130" s="22" t="inlineStr"/>
    </row>
    <row r="131">
      <c r="A131" s="20" t="n">
        <v>130</v>
      </c>
      <c r="B131" s="20" t="inlineStr">
        <is>
          <t>Ola 2 - Escalar comercialmente</t>
        </is>
      </c>
      <c r="C131" s="20" t="inlineStr">
        <is>
          <t>F13</t>
        </is>
      </c>
      <c r="D131" s="20" t="inlineStr">
        <is>
          <t>Portal de la marca</t>
        </is>
      </c>
      <c r="E131" s="21" t="inlineStr">
        <is>
          <t>13.5</t>
        </is>
      </c>
      <c r="F131" s="22" t="inlineStr">
        <is>
          <t>Reportes en vivo</t>
        </is>
      </c>
      <c r="G131" s="23" t="inlineStr">
        <is>
          <t>Pendiente</t>
        </is>
      </c>
      <c r="H131" s="24">
        <f>IFERROR(INDEX(Config!$B$3:$B$8,MATCH($G131,Config!$A$3:$A$8,0)),0)</f>
        <v/>
      </c>
      <c r="I131" s="23">
        <f>IFERROR(INDEX(Config!$C$3:$C$8,MATCH($G131,Config!$A$3:$A$8,0)),0)</f>
        <v/>
      </c>
      <c r="J131" s="22" t="inlineStr"/>
    </row>
    <row r="132">
      <c r="A132" s="20" t="n">
        <v>131</v>
      </c>
      <c r="B132" s="20" t="inlineStr">
        <is>
          <t>Ola 2 - Escalar comercialmente</t>
        </is>
      </c>
      <c r="C132" s="20" t="inlineStr">
        <is>
          <t>F13</t>
        </is>
      </c>
      <c r="D132" s="20" t="inlineStr">
        <is>
          <t>Portal de la marca</t>
        </is>
      </c>
      <c r="E132" s="21" t="inlineStr">
        <is>
          <t>13.6</t>
        </is>
      </c>
      <c r="F132" s="22" t="inlineStr">
        <is>
          <t>Facturas y estado de cuenta</t>
        </is>
      </c>
      <c r="G132" s="23" t="inlineStr">
        <is>
          <t>Pendiente</t>
        </is>
      </c>
      <c r="H132" s="24">
        <f>IFERROR(INDEX(Config!$B$3:$B$8,MATCH($G132,Config!$A$3:$A$8,0)),0)</f>
        <v/>
      </c>
      <c r="I132" s="23">
        <f>IFERROR(INDEX(Config!$C$3:$C$8,MATCH($G132,Config!$A$3:$A$8,0)),0)</f>
        <v/>
      </c>
      <c r="J132" s="22" t="inlineStr"/>
    </row>
    <row r="133">
      <c r="A133" s="20" t="n">
        <v>132</v>
      </c>
      <c r="B133" s="20" t="inlineStr">
        <is>
          <t>Ola 2 - Escalar comercialmente</t>
        </is>
      </c>
      <c r="C133" s="20" t="inlineStr">
        <is>
          <t>F13</t>
        </is>
      </c>
      <c r="D133" s="20" t="inlineStr">
        <is>
          <t>Portal de la marca</t>
        </is>
      </c>
      <c r="E133" s="21" t="inlineStr">
        <is>
          <t>13.7</t>
        </is>
      </c>
      <c r="F133" s="22" t="inlineStr">
        <is>
          <t>QA de fase</t>
        </is>
      </c>
      <c r="G133" s="23" t="inlineStr">
        <is>
          <t>Pendiente</t>
        </is>
      </c>
      <c r="H133" s="24">
        <f>IFERROR(INDEX(Config!$B$3:$B$8,MATCH($G133,Config!$A$3:$A$8,0)),0)</f>
        <v/>
      </c>
      <c r="I133" s="23">
        <f>IFERROR(INDEX(Config!$C$3:$C$8,MATCH($G133,Config!$A$3:$A$8,0)),0)</f>
        <v/>
      </c>
      <c r="J133" s="22" t="inlineStr"/>
    </row>
    <row r="134">
      <c r="A134" s="20" t="n">
        <v>133</v>
      </c>
      <c r="B134" s="20" t="inlineStr">
        <is>
          <t>Ola 2 - Escalar comercialmente</t>
        </is>
      </c>
      <c r="C134" s="20" t="inlineStr">
        <is>
          <t>F14</t>
        </is>
      </c>
      <c r="D134" s="20" t="inlineStr">
        <is>
          <t>Creator Intelligence</t>
        </is>
      </c>
      <c r="E134" s="21" t="inlineStr">
        <is>
          <t>14.1</t>
        </is>
      </c>
      <c r="F134" s="22" t="inlineStr">
        <is>
          <t>Evaluaciones post-campana (interna y de cliente)</t>
        </is>
      </c>
      <c r="G134" s="23" t="inlineStr">
        <is>
          <t>Pendiente</t>
        </is>
      </c>
      <c r="H134" s="24">
        <f>IFERROR(INDEX(Config!$B$3:$B$8,MATCH($G134,Config!$A$3:$A$8,0)),0)</f>
        <v/>
      </c>
      <c r="I134" s="23">
        <f>IFERROR(INDEX(Config!$C$3:$C$8,MATCH($G134,Config!$A$3:$A$8,0)),0)</f>
        <v/>
      </c>
      <c r="J134" s="22" t="inlineStr"/>
    </row>
    <row r="135">
      <c r="A135" s="20" t="n">
        <v>134</v>
      </c>
      <c r="B135" s="20" t="inlineStr">
        <is>
          <t>Ola 2 - Escalar comercialmente</t>
        </is>
      </c>
      <c r="C135" s="20" t="inlineStr">
        <is>
          <t>F14</t>
        </is>
      </c>
      <c r="D135" s="20" t="inlineStr">
        <is>
          <t>Creator Intelligence</t>
        </is>
      </c>
      <c r="E135" s="21" t="inlineStr">
        <is>
          <t>14.2</t>
        </is>
      </c>
      <c r="F135" s="22" t="inlineStr">
        <is>
          <t>Senales y metricas derivadas</t>
        </is>
      </c>
      <c r="G135" s="23" t="inlineStr">
        <is>
          <t>Pendiente</t>
        </is>
      </c>
      <c r="H135" s="24">
        <f>IFERROR(INDEX(Config!$B$3:$B$8,MATCH($G135,Config!$A$3:$A$8,0)),0)</f>
        <v/>
      </c>
      <c r="I135" s="23">
        <f>IFERROR(INDEX(Config!$C$3:$C$8,MATCH($G135,Config!$A$3:$A$8,0)),0)</f>
        <v/>
      </c>
      <c r="J135" s="22" t="inlineStr"/>
    </row>
    <row r="136">
      <c r="A136" s="20" t="n">
        <v>135</v>
      </c>
      <c r="B136" s="20" t="inlineStr">
        <is>
          <t>Ola 2 - Escalar comercialmente</t>
        </is>
      </c>
      <c r="C136" s="20" t="inlineStr">
        <is>
          <t>F14</t>
        </is>
      </c>
      <c r="D136" s="20" t="inlineStr">
        <is>
          <t>Creator Intelligence</t>
        </is>
      </c>
      <c r="E136" s="21" t="inlineStr">
        <is>
          <t>14.3</t>
        </is>
      </c>
      <c r="F136" s="22" t="inlineStr">
        <is>
          <t>Creator Score basado en reglas explicitas y auditables</t>
        </is>
      </c>
      <c r="G136" s="23" t="inlineStr">
        <is>
          <t>Pendiente</t>
        </is>
      </c>
      <c r="H136" s="24">
        <f>IFERROR(INDEX(Config!$B$3:$B$8,MATCH($G136,Config!$A$3:$A$8,0)),0)</f>
        <v/>
      </c>
      <c r="I136" s="23">
        <f>IFERROR(INDEX(Config!$C$3:$C$8,MATCH($G136,Config!$A$3:$A$8,0)),0)</f>
        <v/>
      </c>
      <c r="J136" s="22" t="inlineStr">
        <is>
          <t>Solo tiene sentido despues de F10: antes es un numero inventado</t>
        </is>
      </c>
    </row>
    <row r="137">
      <c r="A137" s="20" t="n">
        <v>136</v>
      </c>
      <c r="B137" s="20" t="inlineStr">
        <is>
          <t>Ola 2 - Escalar comercialmente</t>
        </is>
      </c>
      <c r="C137" s="20" t="inlineStr">
        <is>
          <t>F14</t>
        </is>
      </c>
      <c r="D137" s="20" t="inlineStr">
        <is>
          <t>Creator Intelligence</t>
        </is>
      </c>
      <c r="E137" s="21" t="inlineStr">
        <is>
          <t>14.4</t>
        </is>
      </c>
      <c r="F137" s="22" t="inlineStr">
        <is>
          <t>Score por plataforma/categoria/tipo de campana</t>
        </is>
      </c>
      <c r="G137" s="23" t="inlineStr">
        <is>
          <t>Pendiente</t>
        </is>
      </c>
      <c r="H137" s="24">
        <f>IFERROR(INDEX(Config!$B$3:$B$8,MATCH($G137,Config!$A$3:$A$8,0)),0)</f>
        <v/>
      </c>
      <c r="I137" s="23">
        <f>IFERROR(INDEX(Config!$C$3:$C$8,MATCH($G137,Config!$A$3:$A$8,0)),0)</f>
        <v/>
      </c>
      <c r="J137" s="22" t="inlineStr"/>
    </row>
    <row r="138">
      <c r="A138" s="20" t="n">
        <v>137</v>
      </c>
      <c r="B138" s="20" t="inlineStr">
        <is>
          <t>Ola 2 - Escalar comercialmente</t>
        </is>
      </c>
      <c r="C138" s="20" t="inlineStr">
        <is>
          <t>F14</t>
        </is>
      </c>
      <c r="D138" s="20" t="inlineStr">
        <is>
          <t>Creator Intelligence</t>
        </is>
      </c>
      <c r="E138" s="21" t="inlineStr">
        <is>
          <t>14.5</t>
        </is>
      </c>
      <c r="F138" s="22" t="inlineStr">
        <is>
          <t>Matching asistido con ranking y deteccion de conflictos de marca</t>
        </is>
      </c>
      <c r="G138" s="23" t="inlineStr">
        <is>
          <t>Pendiente</t>
        </is>
      </c>
      <c r="H138" s="24">
        <f>IFERROR(INDEX(Config!$B$3:$B$8,MATCH($G138,Config!$A$3:$A$8,0)),0)</f>
        <v/>
      </c>
      <c r="I138" s="23">
        <f>IFERROR(INDEX(Config!$C$3:$C$8,MATCH($G138,Config!$A$3:$A$8,0)),0)</f>
        <v/>
      </c>
      <c r="J138" s="22" t="inlineStr"/>
    </row>
    <row r="139">
      <c r="A139" s="20" t="n">
        <v>138</v>
      </c>
      <c r="B139" s="20" t="inlineStr">
        <is>
          <t>Ola 2 - Escalar comercialmente</t>
        </is>
      </c>
      <c r="C139" s="20" t="inlineStr">
        <is>
          <t>F14</t>
        </is>
      </c>
      <c r="D139" s="20" t="inlineStr">
        <is>
          <t>Creator Intelligence</t>
        </is>
      </c>
      <c r="E139" s="21" t="inlineStr">
        <is>
          <t>14.6</t>
        </is>
      </c>
      <c r="F139" s="22" t="inlineStr">
        <is>
          <t>Deteccion de anomalias de audiencia</t>
        </is>
      </c>
      <c r="G139" s="23" t="inlineStr">
        <is>
          <t>Pendiente</t>
        </is>
      </c>
      <c r="H139" s="24">
        <f>IFERROR(INDEX(Config!$B$3:$B$8,MATCH($G139,Config!$A$3:$A$8,0)),0)</f>
        <v/>
      </c>
      <c r="I139" s="23">
        <f>IFERROR(INDEX(Config!$C$3:$C$8,MATCH($G139,Config!$A$3:$A$8,0)),0)</f>
        <v/>
      </c>
      <c r="J139" s="22" t="inlineStr"/>
    </row>
    <row r="140">
      <c r="A140" s="20" t="n">
        <v>139</v>
      </c>
      <c r="B140" s="20" t="inlineStr">
        <is>
          <t>Ola 2 - Escalar comercialmente</t>
        </is>
      </c>
      <c r="C140" s="20" t="inlineStr">
        <is>
          <t>F14</t>
        </is>
      </c>
      <c r="D140" s="20" t="inlineStr">
        <is>
          <t>Creator Intelligence</t>
        </is>
      </c>
      <c r="E140" s="21" t="inlineStr">
        <is>
          <t>14.7</t>
        </is>
      </c>
      <c r="F140" s="22" t="inlineStr">
        <is>
          <t>Gamificacion: motor de reglas de XP, ledger append-only, niveles, panel y simulador</t>
        </is>
      </c>
      <c r="G140" s="23" t="inlineStr">
        <is>
          <t>Pendiente</t>
        </is>
      </c>
      <c r="H140" s="24">
        <f>IFERROR(INDEX(Config!$B$3:$B$8,MATCH($G140,Config!$A$3:$A$8,0)),0)</f>
        <v/>
      </c>
      <c r="I140" s="23">
        <f>IFERROR(INDEX(Config!$C$3:$C$8,MATCH($G140,Config!$A$3:$A$8,0)),0)</f>
        <v/>
      </c>
      <c r="J140" s="22" t="inlineStr"/>
    </row>
    <row r="141">
      <c r="A141" s="20" t="n">
        <v>140</v>
      </c>
      <c r="B141" s="20" t="inlineStr">
        <is>
          <t>Ola 2 - Escalar comercialmente</t>
        </is>
      </c>
      <c r="C141" s="20" t="inlineStr">
        <is>
          <t>F14</t>
        </is>
      </c>
      <c r="D141" s="20" t="inlineStr">
        <is>
          <t>Creator Intelligence</t>
        </is>
      </c>
      <c r="E141" s="21" t="inlineStr">
        <is>
          <t>14.8</t>
        </is>
      </c>
      <c r="F141" s="22" t="inlineStr">
        <is>
          <t>Insignias y Academia del creador</t>
        </is>
      </c>
      <c r="G141" s="23" t="inlineStr">
        <is>
          <t>Pendiente</t>
        </is>
      </c>
      <c r="H141" s="24">
        <f>IFERROR(INDEX(Config!$B$3:$B$8,MATCH($G141,Config!$A$3:$A$8,0)),0)</f>
        <v/>
      </c>
      <c r="I141" s="23">
        <f>IFERROR(INDEX(Config!$C$3:$C$8,MATCH($G141,Config!$A$3:$A$8,0)),0)</f>
        <v/>
      </c>
      <c r="J141" s="22" t="inlineStr"/>
    </row>
    <row r="142">
      <c r="A142" s="20" t="n">
        <v>141</v>
      </c>
      <c r="B142" s="20" t="inlineStr">
        <is>
          <t>Ola 2 - Escalar comercialmente</t>
        </is>
      </c>
      <c r="C142" s="20" t="inlineStr">
        <is>
          <t>F14</t>
        </is>
      </c>
      <c r="D142" s="20" t="inlineStr">
        <is>
          <t>Creator Intelligence</t>
        </is>
      </c>
      <c r="E142" s="21" t="inlineStr">
        <is>
          <t>14.9</t>
        </is>
      </c>
      <c r="F142" s="22" t="inlineStr">
        <is>
          <t>QA de fase</t>
        </is>
      </c>
      <c r="G142" s="23" t="inlineStr">
        <is>
          <t>Pendiente</t>
        </is>
      </c>
      <c r="H142" s="24">
        <f>IFERROR(INDEX(Config!$B$3:$B$8,MATCH($G142,Config!$A$3:$A$8,0)),0)</f>
        <v/>
      </c>
      <c r="I142" s="23">
        <f>IFERROR(INDEX(Config!$C$3:$C$8,MATCH($G142,Config!$A$3:$A$8,0)),0)</f>
        <v/>
      </c>
      <c r="J142" s="22" t="inlineStr"/>
    </row>
    <row r="143">
      <c r="A143" s="20" t="n">
        <v>142</v>
      </c>
      <c r="B143" s="20" t="inlineStr">
        <is>
          <t>Ola 3 - Internacionalizar y endurecer</t>
        </is>
      </c>
      <c r="C143" s="20" t="inlineStr">
        <is>
          <t>F15</t>
        </is>
      </c>
      <c r="D143" s="20" t="inlineStr">
        <is>
          <t>Internacionalizacion real</t>
        </is>
      </c>
      <c r="E143" s="21" t="inlineStr">
        <is>
          <t>15.0</t>
        </is>
      </c>
      <c r="F143" s="22" t="inlineStr">
        <is>
          <t>Gamificacion avanzada: ligas, retos, referidos, recompensas y canjes auditados</t>
        </is>
      </c>
      <c r="G143" s="23" t="inlineStr">
        <is>
          <t>Pendiente</t>
        </is>
      </c>
      <c r="H143" s="24">
        <f>IFERROR(INDEX(Config!$B$3:$B$8,MATCH($G143,Config!$A$3:$A$8,0)),0)</f>
        <v/>
      </c>
      <c r="I143" s="23">
        <f>IFERROR(INDEX(Config!$C$3:$C$8,MATCH($G143,Config!$A$3:$A$8,0)),0)</f>
        <v/>
      </c>
      <c r="J143" s="22" t="inlineStr">
        <is>
          <t>Requiere validacion legal previa (Q-24)</t>
        </is>
      </c>
    </row>
    <row r="144">
      <c r="A144" s="20" t="n">
        <v>143</v>
      </c>
      <c r="B144" s="20" t="inlineStr">
        <is>
          <t>Ola 3 - Internacionalizar y endurecer</t>
        </is>
      </c>
      <c r="C144" s="20" t="inlineStr">
        <is>
          <t>F15</t>
        </is>
      </c>
      <c r="D144" s="20" t="inlineStr">
        <is>
          <t>Internacionalizacion real</t>
        </is>
      </c>
      <c r="E144" s="21" t="inlineStr">
        <is>
          <t>15.1</t>
        </is>
      </c>
      <c r="F144" s="22" t="inlineStr">
        <is>
          <t>Traduccion de UI y correos (en-US, pt-BR)</t>
        </is>
      </c>
      <c r="G144" s="23" t="inlineStr">
        <is>
          <t>Pendiente</t>
        </is>
      </c>
      <c r="H144" s="24">
        <f>IFERROR(INDEX(Config!$B$3:$B$8,MATCH($G144,Config!$A$3:$A$8,0)),0)</f>
        <v/>
      </c>
      <c r="I144" s="23">
        <f>IFERROR(INDEX(Config!$C$3:$C$8,MATCH($G144,Config!$A$3:$A$8,0)),0)</f>
        <v/>
      </c>
      <c r="J144" s="22" t="inlineStr"/>
    </row>
    <row r="145">
      <c r="A145" s="20" t="n">
        <v>144</v>
      </c>
      <c r="B145" s="20" t="inlineStr">
        <is>
          <t>Ola 3 - Internacionalizar y endurecer</t>
        </is>
      </c>
      <c r="C145" s="20" t="inlineStr">
        <is>
          <t>F15</t>
        </is>
      </c>
      <c r="D145" s="20" t="inlineStr">
        <is>
          <t>Internacionalizacion real</t>
        </is>
      </c>
      <c r="E145" s="21" t="inlineStr">
        <is>
          <t>15.2</t>
        </is>
      </c>
      <c r="F145" s="22" t="inlineStr">
        <is>
          <t>Esquemas fiscales por pais (documentos, retenciones, comprobantes)</t>
        </is>
      </c>
      <c r="G145" s="23" t="inlineStr">
        <is>
          <t>Pendiente</t>
        </is>
      </c>
      <c r="H145" s="24">
        <f>IFERROR(INDEX(Config!$B$3:$B$8,MATCH($G145,Config!$A$3:$A$8,0)),0)</f>
        <v/>
      </c>
      <c r="I145" s="23">
        <f>IFERROR(INDEX(Config!$C$3:$C$8,MATCH($G145,Config!$A$3:$A$8,0)),0)</f>
        <v/>
      </c>
      <c r="J145" s="22" t="inlineStr"/>
    </row>
    <row r="146">
      <c r="A146" s="20" t="n">
        <v>145</v>
      </c>
      <c r="B146" s="20" t="inlineStr">
        <is>
          <t>Ola 3 - Internacionalizar y endurecer</t>
        </is>
      </c>
      <c r="C146" s="20" t="inlineStr">
        <is>
          <t>F15</t>
        </is>
      </c>
      <c r="D146" s="20" t="inlineStr">
        <is>
          <t>Internacionalizacion real</t>
        </is>
      </c>
      <c r="E146" s="21" t="inlineStr">
        <is>
          <t>15.3</t>
        </is>
      </c>
      <c r="F146" s="22" t="inlineStr">
        <is>
          <t>Proveedores de facturacion por pais</t>
        </is>
      </c>
      <c r="G146" s="23" t="inlineStr">
        <is>
          <t>Pendiente</t>
        </is>
      </c>
      <c r="H146" s="24">
        <f>IFERROR(INDEX(Config!$B$3:$B$8,MATCH($G146,Config!$A$3:$A$8,0)),0)</f>
        <v/>
      </c>
      <c r="I146" s="23">
        <f>IFERROR(INDEX(Config!$C$3:$C$8,MATCH($G146,Config!$A$3:$A$8,0)),0)</f>
        <v/>
      </c>
      <c r="J146" s="22" t="inlineStr"/>
    </row>
    <row r="147">
      <c r="A147" s="20" t="n">
        <v>146</v>
      </c>
      <c r="B147" s="20" t="inlineStr">
        <is>
          <t>Ola 3 - Internacionalizar y endurecer</t>
        </is>
      </c>
      <c r="C147" s="20" t="inlineStr">
        <is>
          <t>F15</t>
        </is>
      </c>
      <c r="D147" s="20" t="inlineStr">
        <is>
          <t>Internacionalizacion real</t>
        </is>
      </c>
      <c r="E147" s="21" t="inlineStr">
        <is>
          <t>15.4</t>
        </is>
      </c>
      <c r="F147" s="22" t="inlineStr">
        <is>
          <t>Medios de pago por pais</t>
        </is>
      </c>
      <c r="G147" s="23" t="inlineStr">
        <is>
          <t>Pendiente</t>
        </is>
      </c>
      <c r="H147" s="24">
        <f>IFERROR(INDEX(Config!$B$3:$B$8,MATCH($G147,Config!$A$3:$A$8,0)),0)</f>
        <v/>
      </c>
      <c r="I147" s="23">
        <f>IFERROR(INDEX(Config!$C$3:$C$8,MATCH($G147,Config!$A$3:$A$8,0)),0)</f>
        <v/>
      </c>
      <c r="J147" s="22" t="inlineStr"/>
    </row>
    <row r="148">
      <c r="A148" s="20" t="n">
        <v>147</v>
      </c>
      <c r="B148" s="20" t="inlineStr">
        <is>
          <t>Ola 3 - Internacionalizar y endurecer</t>
        </is>
      </c>
      <c r="C148" s="20" t="inlineStr">
        <is>
          <t>F15</t>
        </is>
      </c>
      <c r="D148" s="20" t="inlineStr">
        <is>
          <t>Internacionalizacion real</t>
        </is>
      </c>
      <c r="E148" s="21" t="inlineStr">
        <is>
          <t>15.5</t>
        </is>
      </c>
      <c r="F148" s="22" t="inlineStr">
        <is>
          <t>Zonas horarias en operacion multipais</t>
        </is>
      </c>
      <c r="G148" s="23" t="inlineStr">
        <is>
          <t>Pendiente</t>
        </is>
      </c>
      <c r="H148" s="24">
        <f>IFERROR(INDEX(Config!$B$3:$B$8,MATCH($G148,Config!$A$3:$A$8,0)),0)</f>
        <v/>
      </c>
      <c r="I148" s="23">
        <f>IFERROR(INDEX(Config!$C$3:$C$8,MATCH($G148,Config!$A$3:$A$8,0)),0)</f>
        <v/>
      </c>
      <c r="J148" s="22" t="inlineStr"/>
    </row>
    <row r="149">
      <c r="A149" s="20" t="n">
        <v>148</v>
      </c>
      <c r="B149" s="20" t="inlineStr">
        <is>
          <t>Ola 3 - Internacionalizar y endurecer</t>
        </is>
      </c>
      <c r="C149" s="20" t="inlineStr">
        <is>
          <t>F15</t>
        </is>
      </c>
      <c r="D149" s="20" t="inlineStr">
        <is>
          <t>Internacionalizacion real</t>
        </is>
      </c>
      <c r="E149" s="21" t="inlineStr">
        <is>
          <t>15.6</t>
        </is>
      </c>
      <c r="F149" s="22" t="inlineStr">
        <is>
          <t>Cumplimiento de privacidad por jurisdiccion y responsable del tratamiento</t>
        </is>
      </c>
      <c r="G149" s="23" t="inlineStr">
        <is>
          <t>Pendiente</t>
        </is>
      </c>
      <c r="H149" s="24">
        <f>IFERROR(INDEX(Config!$B$3:$B$8,MATCH($G149,Config!$A$3:$A$8,0)),0)</f>
        <v/>
      </c>
      <c r="I149" s="23">
        <f>IFERROR(INDEX(Config!$C$3:$C$8,MATCH($G149,Config!$A$3:$A$8,0)),0)</f>
        <v/>
      </c>
      <c r="J149" s="22" t="inlineStr"/>
    </row>
    <row r="150">
      <c r="A150" s="20" t="n">
        <v>149</v>
      </c>
      <c r="B150" s="20" t="inlineStr">
        <is>
          <t>Ola 3 - Internacionalizar y endurecer</t>
        </is>
      </c>
      <c r="C150" s="20" t="inlineStr">
        <is>
          <t>F15</t>
        </is>
      </c>
      <c r="D150" s="20" t="inlineStr">
        <is>
          <t>Internacionalizacion real</t>
        </is>
      </c>
      <c r="E150" s="21" t="inlineStr">
        <is>
          <t>15.7</t>
        </is>
      </c>
      <c r="F150" s="22" t="inlineStr">
        <is>
          <t>QA de fase</t>
        </is>
      </c>
      <c r="G150" s="23" t="inlineStr">
        <is>
          <t>Pendiente</t>
        </is>
      </c>
      <c r="H150" s="24">
        <f>IFERROR(INDEX(Config!$B$3:$B$8,MATCH($G150,Config!$A$3:$A$8,0)),0)</f>
        <v/>
      </c>
      <c r="I150" s="23">
        <f>IFERROR(INDEX(Config!$C$3:$C$8,MATCH($G150,Config!$A$3:$A$8,0)),0)</f>
        <v/>
      </c>
      <c r="J150" s="22" t="inlineStr"/>
    </row>
    <row r="151">
      <c r="A151" s="20" t="n">
        <v>150</v>
      </c>
      <c r="B151" s="20" t="inlineStr">
        <is>
          <t>Ola 3 - Internacionalizar y endurecer</t>
        </is>
      </c>
      <c r="C151" s="20" t="inlineStr">
        <is>
          <t>F15</t>
        </is>
      </c>
      <c r="D151" s="20" t="inlineStr">
        <is>
          <t>Internacionalizacion real</t>
        </is>
      </c>
      <c r="E151" s="21" t="inlineStr">
        <is>
          <t>15.8</t>
        </is>
      </c>
      <c r="F151" s="22" t="inlineStr">
        <is>
          <t>Alta de una nueva entidad legal: lista de verificacion operativa</t>
        </is>
      </c>
      <c r="G151" s="23" t="inlineStr">
        <is>
          <t>Pendiente</t>
        </is>
      </c>
      <c r="H151" s="24">
        <f>IFERROR(INDEX(Config!$B$3:$B$8,MATCH($G151,Config!$A$3:$A$8,0)),0)</f>
        <v/>
      </c>
      <c r="I151" s="23">
        <f>IFERROR(INDEX(Config!$C$3:$C$8,MATCH($G151,Config!$A$3:$A$8,0)),0)</f>
        <v/>
      </c>
      <c r="J151" s="22" t="inlineStr">
        <is>
          <t>El modelo ya lo soporta desde 4.5b; falta el procedimiento</t>
        </is>
      </c>
    </row>
    <row r="152">
      <c r="A152" s="20" t="n">
        <v>151</v>
      </c>
      <c r="B152" s="20" t="inlineStr">
        <is>
          <t>Ola 3 - Internacionalizar y endurecer</t>
        </is>
      </c>
      <c r="C152" s="20" t="inlineStr">
        <is>
          <t>F16</t>
        </is>
      </c>
      <c r="D152" s="20" t="inlineStr">
        <is>
          <t>Hardening</t>
        </is>
      </c>
      <c r="E152" s="21" t="inlineStr">
        <is>
          <t>16.1</t>
        </is>
      </c>
      <c r="F152" s="22" t="inlineStr">
        <is>
          <t>Revision OWASP completa</t>
        </is>
      </c>
      <c r="G152" s="23" t="inlineStr">
        <is>
          <t>Pendiente</t>
        </is>
      </c>
      <c r="H152" s="24">
        <f>IFERROR(INDEX(Config!$B$3:$B$8,MATCH($G152,Config!$A$3:$A$8,0)),0)</f>
        <v/>
      </c>
      <c r="I152" s="23">
        <f>IFERROR(INDEX(Config!$C$3:$C$8,MATCH($G152,Config!$A$3:$A$8,0)),0)</f>
        <v/>
      </c>
      <c r="J152" s="22" t="inlineStr"/>
    </row>
    <row r="153">
      <c r="A153" s="20" t="n">
        <v>152</v>
      </c>
      <c r="B153" s="20" t="inlineStr">
        <is>
          <t>Ola 3 - Internacionalizar y endurecer</t>
        </is>
      </c>
      <c r="C153" s="20" t="inlineStr">
        <is>
          <t>F16</t>
        </is>
      </c>
      <c r="D153" s="20" t="inlineStr">
        <is>
          <t>Hardening</t>
        </is>
      </c>
      <c r="E153" s="21" t="inlineStr">
        <is>
          <t>16.2</t>
        </is>
      </c>
      <c r="F153" s="22" t="inlineStr">
        <is>
          <t>Pruebas de penetracion</t>
        </is>
      </c>
      <c r="G153" s="23" t="inlineStr">
        <is>
          <t>Pendiente</t>
        </is>
      </c>
      <c r="H153" s="24">
        <f>IFERROR(INDEX(Config!$B$3:$B$8,MATCH($G153,Config!$A$3:$A$8,0)),0)</f>
        <v/>
      </c>
      <c r="I153" s="23">
        <f>IFERROR(INDEX(Config!$C$3:$C$8,MATCH($G153,Config!$A$3:$A$8,0)),0)</f>
        <v/>
      </c>
      <c r="J153" s="22" t="inlineStr"/>
    </row>
    <row r="154">
      <c r="A154" s="20" t="n">
        <v>153</v>
      </c>
      <c r="B154" s="20" t="inlineStr">
        <is>
          <t>Ola 3 - Internacionalizar y endurecer</t>
        </is>
      </c>
      <c r="C154" s="20" t="inlineStr">
        <is>
          <t>F16</t>
        </is>
      </c>
      <c r="D154" s="20" t="inlineStr">
        <is>
          <t>Hardening</t>
        </is>
      </c>
      <c r="E154" s="21" t="inlineStr">
        <is>
          <t>16.3</t>
        </is>
      </c>
      <c r="F154" s="22" t="inlineStr">
        <is>
          <t>Pruebas de carga y perfilado de consultas</t>
        </is>
      </c>
      <c r="G154" s="23" t="inlineStr">
        <is>
          <t>Pendiente</t>
        </is>
      </c>
      <c r="H154" s="24">
        <f>IFERROR(INDEX(Config!$B$3:$B$8,MATCH($G154,Config!$A$3:$A$8,0)),0)</f>
        <v/>
      </c>
      <c r="I154" s="23">
        <f>IFERROR(INDEX(Config!$C$3:$C$8,MATCH($G154,Config!$A$3:$A$8,0)),0)</f>
        <v/>
      </c>
      <c r="J154" s="22" t="inlineStr"/>
    </row>
    <row r="155">
      <c r="A155" s="20" t="n">
        <v>154</v>
      </c>
      <c r="B155" s="20" t="inlineStr">
        <is>
          <t>Ola 3 - Internacionalizar y endurecer</t>
        </is>
      </c>
      <c r="C155" s="20" t="inlineStr">
        <is>
          <t>F16</t>
        </is>
      </c>
      <c r="D155" s="20" t="inlineStr">
        <is>
          <t>Hardening</t>
        </is>
      </c>
      <c r="E155" s="21" t="inlineStr">
        <is>
          <t>16.4</t>
        </is>
      </c>
      <c r="F155" s="22" t="inlineStr">
        <is>
          <t>Indices y archivado bajo volumen real</t>
        </is>
      </c>
      <c r="G155" s="23" t="inlineStr">
        <is>
          <t>Pendiente</t>
        </is>
      </c>
      <c r="H155" s="24">
        <f>IFERROR(INDEX(Config!$B$3:$B$8,MATCH($G155,Config!$A$3:$A$8,0)),0)</f>
        <v/>
      </c>
      <c r="I155" s="23">
        <f>IFERROR(INDEX(Config!$C$3:$C$8,MATCH($G155,Config!$A$3:$A$8,0)),0)</f>
        <v/>
      </c>
      <c r="J155" s="22" t="inlineStr">
        <is>
          <t>Recoge la iteracion 2.10, aplazada a proposito</t>
        </is>
      </c>
    </row>
    <row r="156">
      <c r="A156" s="20" t="n">
        <v>155</v>
      </c>
      <c r="B156" s="20" t="inlineStr">
        <is>
          <t>Ola 3 - Internacionalizar y endurecer</t>
        </is>
      </c>
      <c r="C156" s="20" t="inlineStr">
        <is>
          <t>F16</t>
        </is>
      </c>
      <c r="D156" s="20" t="inlineStr">
        <is>
          <t>Hardening</t>
        </is>
      </c>
      <c r="E156" s="21" t="inlineStr">
        <is>
          <t>16.5</t>
        </is>
      </c>
      <c r="F156" s="22" t="inlineStr">
        <is>
          <t>Auditoria de accesibilidad</t>
        </is>
      </c>
      <c r="G156" s="23" t="inlineStr">
        <is>
          <t>Pendiente</t>
        </is>
      </c>
      <c r="H156" s="24">
        <f>IFERROR(INDEX(Config!$B$3:$B$8,MATCH($G156,Config!$A$3:$A$8,0)),0)</f>
        <v/>
      </c>
      <c r="I156" s="23">
        <f>IFERROR(INDEX(Config!$C$3:$C$8,MATCH($G156,Config!$A$3:$A$8,0)),0)</f>
        <v/>
      </c>
      <c r="J156" s="22" t="inlineStr"/>
    </row>
    <row r="157">
      <c r="A157" s="20" t="n">
        <v>156</v>
      </c>
      <c r="B157" s="20" t="inlineStr">
        <is>
          <t>Ola 3 - Internacionalizar y endurecer</t>
        </is>
      </c>
      <c r="C157" s="20" t="inlineStr">
        <is>
          <t>F16</t>
        </is>
      </c>
      <c r="D157" s="20" t="inlineStr">
        <is>
          <t>Hardening</t>
        </is>
      </c>
      <c r="E157" s="21" t="inlineStr">
        <is>
          <t>16.6</t>
        </is>
      </c>
      <c r="F157" s="22" t="inlineStr">
        <is>
          <t>Revision de deuda tecnica acumulada</t>
        </is>
      </c>
      <c r="G157" s="23" t="inlineStr">
        <is>
          <t>Pendiente</t>
        </is>
      </c>
      <c r="H157" s="24">
        <f>IFERROR(INDEX(Config!$B$3:$B$8,MATCH($G157,Config!$A$3:$A$8,0)),0)</f>
        <v/>
      </c>
      <c r="I157" s="23">
        <f>IFERROR(INDEX(Config!$C$3:$C$8,MATCH($G157,Config!$A$3:$A$8,0)),0)</f>
        <v/>
      </c>
      <c r="J157" s="22" t="inlineStr"/>
    </row>
    <row r="158">
      <c r="A158" s="20" t="n">
        <v>157</v>
      </c>
      <c r="B158" s="20" t="inlineStr">
        <is>
          <t>Ola 3 - Internacionalizar y endurecer</t>
        </is>
      </c>
      <c r="C158" s="20" t="inlineStr">
        <is>
          <t>F16</t>
        </is>
      </c>
      <c r="D158" s="20" t="inlineStr">
        <is>
          <t>Hardening</t>
        </is>
      </c>
      <c r="E158" s="21" t="inlineStr">
        <is>
          <t>16.7</t>
        </is>
      </c>
      <c r="F158" s="22" t="inlineStr">
        <is>
          <t>Plan de respuesta a incidentes</t>
        </is>
      </c>
      <c r="G158" s="23" t="inlineStr">
        <is>
          <t>Pendiente</t>
        </is>
      </c>
      <c r="H158" s="24">
        <f>IFERROR(INDEX(Config!$B$3:$B$8,MATCH($G158,Config!$A$3:$A$8,0)),0)</f>
        <v/>
      </c>
      <c r="I158" s="23">
        <f>IFERROR(INDEX(Config!$C$3:$C$8,MATCH($G158,Config!$A$3:$A$8,0)),0)</f>
        <v/>
      </c>
      <c r="J158" s="22" t="inlineStr"/>
    </row>
    <row r="159">
      <c r="A159" s="20" t="n">
        <v>158</v>
      </c>
      <c r="B159" s="20" t="inlineStr">
        <is>
          <t>Ola 3 - Internacionalizar y endurecer</t>
        </is>
      </c>
      <c r="C159" s="20" t="inlineStr">
        <is>
          <t>F17</t>
        </is>
      </c>
      <c r="D159" s="20" t="inlineStr">
        <is>
          <t>Produccion</t>
        </is>
      </c>
      <c r="E159" s="21" t="inlineStr">
        <is>
          <t>17.1</t>
        </is>
      </c>
      <c r="F159" s="22" t="inlineStr">
        <is>
          <t>Infraestructura definitiva, SSL, dominios</t>
        </is>
      </c>
      <c r="G159" s="23" t="inlineStr">
        <is>
          <t>Pendiente</t>
        </is>
      </c>
      <c r="H159" s="24">
        <f>IFERROR(INDEX(Config!$B$3:$B$8,MATCH($G159,Config!$A$3:$A$8,0)),0)</f>
        <v/>
      </c>
      <c r="I159" s="23">
        <f>IFERROR(INDEX(Config!$C$3:$C$8,MATCH($G159,Config!$A$3:$A$8,0)),0)</f>
        <v/>
      </c>
      <c r="J159" s="22" t="inlineStr"/>
    </row>
    <row r="160">
      <c r="A160" s="20" t="n">
        <v>159</v>
      </c>
      <c r="B160" s="20" t="inlineStr">
        <is>
          <t>Ola 3 - Internacionalizar y endurecer</t>
        </is>
      </c>
      <c r="C160" s="20" t="inlineStr">
        <is>
          <t>F17</t>
        </is>
      </c>
      <c r="D160" s="20" t="inlineStr">
        <is>
          <t>Produccion</t>
        </is>
      </c>
      <c r="E160" s="21" t="inlineStr">
        <is>
          <t>17.2</t>
        </is>
      </c>
      <c r="F160" s="22" t="inlineStr">
        <is>
          <t>Monitoreo, alertas, uptime</t>
        </is>
      </c>
      <c r="G160" s="23" t="inlineStr">
        <is>
          <t>Pendiente</t>
        </is>
      </c>
      <c r="H160" s="24">
        <f>IFERROR(INDEX(Config!$B$3:$B$8,MATCH($G160,Config!$A$3:$A$8,0)),0)</f>
        <v/>
      </c>
      <c r="I160" s="23">
        <f>IFERROR(INDEX(Config!$C$3:$C$8,MATCH($G160,Config!$A$3:$A$8,0)),0)</f>
        <v/>
      </c>
      <c r="J160" s="22" t="inlineStr"/>
    </row>
    <row r="161">
      <c r="A161" s="20" t="n">
        <v>160</v>
      </c>
      <c r="B161" s="20" t="inlineStr">
        <is>
          <t>Ola 3 - Internacionalizar y endurecer</t>
        </is>
      </c>
      <c r="C161" s="20" t="inlineStr">
        <is>
          <t>F17</t>
        </is>
      </c>
      <c r="D161" s="20" t="inlineStr">
        <is>
          <t>Produccion</t>
        </is>
      </c>
      <c r="E161" s="21" t="inlineStr">
        <is>
          <t>17.3</t>
        </is>
      </c>
      <c r="F161" s="22" t="inlineStr">
        <is>
          <t>Backups y restauracion probada</t>
        </is>
      </c>
      <c r="G161" s="23" t="inlineStr">
        <is>
          <t>Pendiente</t>
        </is>
      </c>
      <c r="H161" s="24">
        <f>IFERROR(INDEX(Config!$B$3:$B$8,MATCH($G161,Config!$A$3:$A$8,0)),0)</f>
        <v/>
      </c>
      <c r="I161" s="23">
        <f>IFERROR(INDEX(Config!$C$3:$C$8,MATCH($G161,Config!$A$3:$A$8,0)),0)</f>
        <v/>
      </c>
      <c r="J161" s="22" t="inlineStr"/>
    </row>
    <row r="162">
      <c r="A162" s="20" t="n">
        <v>161</v>
      </c>
      <c r="B162" s="20" t="inlineStr">
        <is>
          <t>Ola 3 - Internacionalizar y endurecer</t>
        </is>
      </c>
      <c r="C162" s="20" t="inlineStr">
        <is>
          <t>F17</t>
        </is>
      </c>
      <c r="D162" s="20" t="inlineStr">
        <is>
          <t>Produccion</t>
        </is>
      </c>
      <c r="E162" s="21" t="inlineStr">
        <is>
          <t>17.4</t>
        </is>
      </c>
      <c r="F162" s="22" t="inlineStr">
        <is>
          <t>Runbooks operativos</t>
        </is>
      </c>
      <c r="G162" s="23" t="inlineStr">
        <is>
          <t>En curso</t>
        </is>
      </c>
      <c r="H162" s="24">
        <f>IFERROR(INDEX(Config!$B$3:$B$8,MATCH($G162,Config!$A$3:$A$8,0)),0)</f>
        <v/>
      </c>
      <c r="I162" s="23">
        <f>IFERROR(INDEX(Config!$C$3:$C$8,MATCH($G162,Config!$A$3:$A$8,0)),0)</f>
        <v/>
      </c>
      <c r="J162" s="22" t="inlineStr">
        <is>
          <t>Primera version en docs/18-RUNBOOK-DESPLIEGUE.md (2026-08-26): los dos crones, orden de despliegue y comprobaciones. Falta ejecutarlo de verdad y corregirlo con lo que salga (T-35)</t>
        </is>
      </c>
    </row>
    <row r="163">
      <c r="A163" s="20" t="n">
        <v>162</v>
      </c>
      <c r="B163" s="20" t="inlineStr">
        <is>
          <t>Ola 3 - Internacionalizar y endurecer</t>
        </is>
      </c>
      <c r="C163" s="20" t="inlineStr">
        <is>
          <t>F17</t>
        </is>
      </c>
      <c r="D163" s="20" t="inlineStr">
        <is>
          <t>Produccion</t>
        </is>
      </c>
      <c r="E163" s="21" t="inlineStr">
        <is>
          <t>17.5</t>
        </is>
      </c>
      <c r="F163" s="22" t="inlineStr">
        <is>
          <t>Documentacion final</t>
        </is>
      </c>
      <c r="G163" s="23" t="inlineStr">
        <is>
          <t>Pendiente</t>
        </is>
      </c>
      <c r="H163" s="24">
        <f>IFERROR(INDEX(Config!$B$3:$B$8,MATCH($G163,Config!$A$3:$A$8,0)),0)</f>
        <v/>
      </c>
      <c r="I163" s="23">
        <f>IFERROR(INDEX(Config!$C$3:$C$8,MATCH($G163,Config!$A$3:$A$8,0)),0)</f>
        <v/>
      </c>
      <c r="J163" s="22" t="inlineStr"/>
    </row>
    <row r="164">
      <c r="A164" s="20" t="n">
        <v>163</v>
      </c>
      <c r="B164" s="20" t="inlineStr">
        <is>
          <t>Ola 3 - Internacionalizar y endurecer</t>
        </is>
      </c>
      <c r="C164" s="20" t="inlineStr">
        <is>
          <t>F17</t>
        </is>
      </c>
      <c r="D164" s="20" t="inlineStr">
        <is>
          <t>Produccion</t>
        </is>
      </c>
      <c r="E164" s="21" t="inlineStr">
        <is>
          <t>17.6</t>
        </is>
      </c>
      <c r="F164" s="22" t="inlineStr">
        <is>
          <t>Plan de soporte y de despliegue continuo</t>
        </is>
      </c>
      <c r="G164" s="23" t="inlineStr">
        <is>
          <t>Pendiente</t>
        </is>
      </c>
      <c r="H164" s="24">
        <f>IFERROR(INDEX(Config!$B$3:$B$8,MATCH($G164,Config!$A$3:$A$8,0)),0)</f>
        <v/>
      </c>
      <c r="I164" s="23">
        <f>IFERROR(INDEX(Config!$C$3:$C$8,MATCH($G164,Config!$A$3:$A$8,0)),0)</f>
        <v/>
      </c>
      <c r="J164" s="22" t="inlineStr"/>
    </row>
  </sheetData>
  <autoFilter ref="A1:J164"/>
  <conditionalFormatting sqref="G2:G164">
    <cfRule type="cellIs" priority="1" operator="equal" dxfId="0">
      <formula>"Terminado"</formula>
    </cfRule>
    <cfRule type="cellIs" priority="2" operator="equal" dxfId="1">
      <formula>"En curso"</formula>
    </cfRule>
    <cfRule type="cellIs" priority="3" operator="equal" dxfId="2">
      <formula>"Pendiente"</formula>
    </cfRule>
    <cfRule type="cellIs" priority="4" operator="equal" dxfId="3">
      <formula>"Bloqueado"</formula>
    </cfRule>
    <cfRule type="cellIs" priority="5" operator="equal" dxfId="4">
      <formula>"Aplazado"</formula>
    </cfRule>
    <cfRule type="cellIs" priority="6" operator="equal" dxfId="5">
      <formula>"No aplica"</formula>
    </cfRule>
  </conditionalFormatting>
  <dataValidations count="1">
    <dataValidation sqref="G2:G164" showDropDown="0" showInputMessage="0" showErrorMessage="1" allowBlank="0" errorTitle="Estado no valido" error="Elija uno de los estados de la hoja Config." promptTitle="Estado" prompt="Elija el estado de esta actividad." type="list">
      <formula1>=Config!$A$3:$A$8</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2026-08-26T08:06:25Z</dcterms:created>
  <dcterms:modified xmlns:dcterms="http://purl.org/dc/terms/" xmlns:xsi="http://www.w3.org/2001/XMLSchema-instance" xsi:type="dcterms:W3CDTF">2026-08-26T08:06:26Z</dcterms:modified>
</cp:coreProperties>
</file>