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3"/>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0"/>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19"/>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6"/>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7"/>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docs/fase-5/5.9-ENLACE-DE-CONTRASENA.md. DEC-113 a DEC-118. Recuperacion por enlace de 1 h, misma respuesta exista o no el correo, URL sin el token dentro.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Terminado</t>
        </is>
      </c>
      <c r="H67" s="24">
        <f>IFERROR(INDEX(Config!$B$3:$B$8,MATCH($G67,Config!$A$3:$A$8,0)),0)</f>
        <v/>
      </c>
      <c r="I67" s="23">
        <f>IFERROR(INDEX(Config!$C$3:$C$8,MATCH($G67,Config!$A$3:$A$8,0)),0)</f>
        <v/>
      </c>
      <c r="J67" s="22" t="inlineStr">
        <is>
          <t>docs/fase-7/7.6-INVITACIONES.md. DEC-119 a DEC-123. Enlace de un solo uso, plazo por campana, rechazo con motivo y reinvitacion con constancia. Las PREGUNTAS quedan fuera: T-38</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Pendiente</t>
        </is>
      </c>
      <c r="H68" s="24">
        <f>IFERROR(INDEX(Config!$B$3:$B$8,MATCH($G68,Config!$A$3:$A$8,0)),0)</f>
        <v/>
      </c>
      <c r="I68" s="23">
        <f>IFERROR(INDEX(Config!$C$3:$C$8,MATCH($G68,Config!$A$3:$A$8,0)),0)</f>
        <v/>
      </c>
      <c r="J68" s="22" t="inlineStr">
        <is>
          <t>La pantalla mas usada del sistema, segun el roadmap</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Pendiente</t>
        </is>
      </c>
      <c r="H75" s="24">
        <f>IFERROR(INDEX(Config!$B$3:$B$8,MATCH($G75,Config!$A$3:$A$8,0)),0)</f>
        <v/>
      </c>
      <c r="I75" s="23">
        <f>IFERROR(INDEX(Config!$C$3:$C$8,MATCH($G75,Config!$A$3:$A$8,0)),0)</f>
        <v/>
      </c>
      <c r="J75" s="22" t="inlineStr">
        <is>
          <t>Tablas deliverables y deliverable_versions disenadas en 2.12</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Pendiente</t>
        </is>
      </c>
      <c r="H76" s="24">
        <f>IFERROR(INDEX(Config!$B$3:$B$8,MATCH($G76,Config!$A$3:$A$8,0)),0)</f>
        <v/>
      </c>
      <c r="I76" s="23">
        <f>IFERROR(INDEX(Config!$C$3:$C$8,MATCH($G76,Config!$A$3:$A$8,0)),0)</f>
        <v/>
      </c>
      <c r="J76" s="22" t="inlineStr">
        <is>
          <t>Disenado en 2.12</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Pendiente</t>
        </is>
      </c>
      <c r="H77" s="24">
        <f>IFERROR(INDEX(Config!$B$3:$B$8,MATCH($G77,Config!$A$3:$A$8,0)),0)</f>
        <v/>
      </c>
      <c r="I77" s="23">
        <f>IFERROR(INDEX(Config!$C$3:$C$8,MATCH($G77,Config!$A$3:$A$8,0)),0)</f>
        <v/>
      </c>
      <c r="J77" s="22" t="inlineStr"/>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Pendiente</t>
        </is>
      </c>
      <c r="H78" s="24">
        <f>IFERROR(INDEX(Config!$B$3:$B$8,MATCH($G78,Config!$A$3:$A$8,0)),0)</f>
        <v/>
      </c>
      <c r="I78" s="23">
        <f>IFERROR(INDEX(Config!$C$3:$C$8,MATCH($G78,Config!$A$3:$A$8,0)),0)</f>
        <v/>
      </c>
      <c r="J78" s="22" t="inlineStr">
        <is>
          <t>included_revision_rounds ya se guarda en la campana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Pendiente</t>
        </is>
      </c>
      <c r="H80" s="24">
        <f>IFERROR(INDEX(Config!$B$3:$B$8,MATCH($G80,Config!$A$3:$A$8,0)),0)</f>
        <v/>
      </c>
      <c r="I80" s="23">
        <f>IFERROR(INDEX(Config!$C$3:$C$8,MATCH($G80,Config!$A$3:$A$8,0)),0)</f>
        <v/>
      </c>
      <c r="J80" s="22" t="inlineStr"/>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Pendiente</t>
        </is>
      </c>
      <c r="H81" s="24">
        <f>IFERROR(INDEX(Config!$B$3:$B$8,MATCH($G81,Config!$A$3:$A$8,0)),0)</f>
        <v/>
      </c>
      <c r="I81" s="23">
        <f>IFERROR(INDEX(Config!$C$3:$C$8,MATCH($G81,Config!$A$3:$A$8,0)),0)</f>
        <v/>
      </c>
      <c r="J81" s="22" t="inlineStr">
        <is>
          <t>Tabla publication_evidence disenada</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2026-08-26T06:52:25Z</dcterms:created>
  <dcterms:modified xmlns:dcterms="http://purl.org/dc/terms/" xmlns:xsi="http://www.w3.org/2001/XMLSchema-instance" xsi:type="dcterms:W3CDTF">2026-08-26T06:52:25Z</dcterms:modified>
</cp:coreProperties>
</file>